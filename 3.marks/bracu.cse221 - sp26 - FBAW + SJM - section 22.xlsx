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<sst xmlns="http://schemas.openxmlformats.org/spreadsheetml/2006/main" count="10" uniqueCount="10">
  <si>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</si>
  <si>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</si>
  <si>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</si>
  <si>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</si>
  <si>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</si>
  <si>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</si>
  <si>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</si>
  <si>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</si>
  <si>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23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</si>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</sst>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31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""'""),choosecols(rng,sequence(1,columns(rng)-1,2,1)))"),"20101610")</f>
        <v>20101610</v>
      </c>
      <c r="B3" s="3">
        <f>IFERROR(__xludf.DUMMYFUNCTION("""COMPUTED_VALUE"""),5.0)</f>
        <v>5</v>
      </c>
      <c r="C3" s="3">
        <f>IFERROR(__xludf.DUMMYFUNCTION("""COMPUTED_VALUE"""),0.0)</f>
        <v>0</v>
      </c>
      <c r="D3" s="3">
        <f>IFERROR(__xludf.DUMMYFUNCTION("""COMPUTED_VALUE"""),5.0)</f>
        <v>5</v>
      </c>
      <c r="E3" s="3">
        <f>IFERROR(__xludf.DUMMYFUNCTION("""COMPUTED_VALUE"""),0.0)</f>
        <v>0</v>
      </c>
      <c r="F3" s="3">
        <f>IFERROR(__xludf.DUMMYFUNCTION("""COMPUTED_VALUE"""),0.0)</f>
        <v>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IFERROR(__xludf.DUMMYFUNCTION("""COMPUTED_VALUE"""),0.0)</f>
        <v>0</v>
      </c>
      <c r="J3" s="3">
        <f>IFERROR(__xludf.DUMMYFUNCTION("""COMPUTED_VALUE"""),7.0)</f>
        <v>7</v>
      </c>
      <c r="K3" s="3">
        <f>IFERROR(__xludf.DUMMYFUNCTION("""COMPUTED_VALUE"""),8.0)</f>
        <v>8</v>
      </c>
      <c r="L3" s="3">
        <f>IFERROR(__xludf.DUMMYFUNCTION("""COMPUTED_VALUE"""),8.0)</f>
        <v>8</v>
      </c>
      <c r="M3" s="3">
        <f>IFERROR(__xludf.DUMMYFUNCTION("""COMPUTED_VALUE"""),8.0)</f>
        <v>8</v>
      </c>
      <c r="N3" s="3">
        <f>IFERROR(__xludf.DUMMYFUNCTION("""COMPUTED_VALUE"""),8.0)</f>
        <v>8</v>
      </c>
      <c r="O3" s="3">
        <f>IFERROR(__xludf.DUMMYFUNCTION("""COMPUTED_VALUE"""),8.0)</f>
        <v>8</v>
      </c>
      <c r="P3" s="3">
        <f>IFERROR(__xludf.DUMMYFUNCTION("""COMPUTED_VALUE"""),6.0)</f>
        <v>6</v>
      </c>
      <c r="Q3" s="3">
        <f>IFERROR(__xludf.DUMMYFUNCTION("""COMPUTED_VALUE"""),0.0)</f>
        <v>0</v>
      </c>
      <c r="R3" s="3"/>
      <c r="S3" s="3"/>
      <c r="T3" s="3"/>
      <c r="U3" s="3">
        <f>IFERROR(__xludf.DUMMYFUNCTION("""COMPUTED_VALUE"""),0.0)</f>
        <v>0</v>
      </c>
      <c r="V3" s="3"/>
      <c r="W3" s="3">
        <f>IFERROR(__xludf.DUMMYFUNCTION("""COMPUTED_VALUE"""),0.0)</f>
        <v>0</v>
      </c>
      <c r="X3" s="3"/>
      <c r="Y3" s="3"/>
      <c r="Z3" s="3"/>
      <c r="AA3" s="3"/>
      <c r="AB3" s="3"/>
      <c r="AC3" s="3"/>
      <c r="AD3" s="3"/>
      <c r="AE3" s="3"/>
      <c r="AF3" s="3">
        <f>IFERROR(__xludf.DUMMYFUNCTION("""COMPUTED_VALUE"""),0.0)</f>
        <v>0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IFERROR(__xludf.DUMMYFUNCTION("""COMPUTED_VALUE"""),"21201006")</f>
        <v>21201006</v>
      </c>
      <c r="B4" s="3">
        <f>IFERROR(__xludf.DUMMYFUNCTION("""COMPUTED_VALUE"""),3.584905660377358)</f>
        <v>3.58490566</v>
      </c>
      <c r="C4" s="3">
        <f>IFERROR(__xludf.DUMMYFUNCTION("""COMPUTED_VALUE"""),0.0)</f>
        <v>0</v>
      </c>
      <c r="D4" s="3">
        <f>IFERROR(__xludf.DUMMYFUNCTION("""COMPUTED_VALUE"""),3.584905660377358)</f>
        <v>3.58490566</v>
      </c>
      <c r="E4" s="3">
        <f>IFERROR(__xludf.DUMMYFUNCTION("""COMPUTED_VALUE"""),0.0)</f>
        <v>0</v>
      </c>
      <c r="F4" s="3">
        <f>IFERROR(__xludf.DUMMYFUNCTION("""COMPUTED_VALUE"""),0.0)</f>
        <v>0</v>
      </c>
      <c r="G4" s="3">
        <f>IFERROR(__xludf.DUMMYFUNCTION("""COMPUTED_VALUE"""),0.0)</f>
        <v>0</v>
      </c>
      <c r="H4" s="3">
        <f>IFERROR(__xludf.DUMMYFUNCTION("""COMPUTED_VALUE"""),0.0)</f>
        <v>0</v>
      </c>
      <c r="I4" s="3">
        <f>IFERROR(__xludf.DUMMYFUNCTION("""COMPUTED_VALUE"""),0.0)</f>
        <v>0</v>
      </c>
      <c r="J4" s="3">
        <f>IFERROR(__xludf.DUMMYFUNCTION("""COMPUTED_VALUE"""),8.0)</f>
        <v>8</v>
      </c>
      <c r="K4" s="3">
        <f>IFERROR(__xludf.DUMMYFUNCTION("""COMPUTED_VALUE"""),8.0)</f>
        <v>8</v>
      </c>
      <c r="L4" s="3">
        <f>IFERROR(__xludf.DUMMYFUNCTION("""COMPUTED_VALUE"""),8.0)</f>
        <v>8</v>
      </c>
      <c r="M4" s="3">
        <f>IFERROR(__xludf.DUMMYFUNCTION("""COMPUTED_VALUE"""),8.0)</f>
        <v>8</v>
      </c>
      <c r="N4" s="3">
        <f>IFERROR(__xludf.DUMMYFUNCTION("""COMPUTED_VALUE"""),0.0)</f>
        <v>0</v>
      </c>
      <c r="O4" s="3">
        <f>IFERROR(__xludf.DUMMYFUNCTION("""COMPUTED_VALUE"""),6.0)</f>
        <v>6</v>
      </c>
      <c r="P4" s="3">
        <f>IFERROR(__xludf.DUMMYFUNCTION("""COMPUTED_VALUE"""),0.0)</f>
        <v>0</v>
      </c>
      <c r="Q4" s="3">
        <f>IFERROR(__xludf.DUMMYFUNCTION("""COMPUTED_VALUE"""),0.0)</f>
        <v>0</v>
      </c>
      <c r="R4" s="3"/>
      <c r="S4" s="3"/>
      <c r="T4" s="3"/>
      <c r="U4" s="3">
        <f>IFERROR(__xludf.DUMMYFUNCTION("""COMPUTED_VALUE"""),0.0)</f>
        <v>0</v>
      </c>
      <c r="V4" s="3"/>
      <c r="W4" s="3">
        <f>IFERROR(__xludf.DUMMYFUNCTION("""COMPUTED_VALUE"""),0.0)</f>
        <v>0</v>
      </c>
      <c r="X4" s="3"/>
      <c r="Y4" s="3"/>
      <c r="Z4" s="3"/>
      <c r="AA4" s="3"/>
      <c r="AB4" s="3"/>
      <c r="AC4" s="3"/>
      <c r="AD4" s="3"/>
      <c r="AE4" s="3"/>
      <c r="AF4" s="3">
        <f>IFERROR(__xludf.DUMMYFUNCTION("""COMPUTED_VALUE"""),0.0)</f>
        <v>0</v>
      </c>
      <c r="AG4" s="3"/>
      <c r="AH4" s="3"/>
      <c r="AI4" s="3"/>
      <c r="AJ4" s="3">
        <f>IFERROR(__xludf.DUMMYFUNCTION("""COMPUTED_VALUE"""),0.0)</f>
        <v>0</v>
      </c>
      <c r="AK4" s="3"/>
      <c r="AL4" s="3"/>
      <c r="AM4" s="3">
        <f>IFERROR(__xludf.DUMMYFUNCTION("""COMPUTED_VALUE"""),0.0)</f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IFERROR(__xludf.DUMMYFUNCTION("""COMPUTED_VALUE"""),"21201026")</f>
        <v>21201026</v>
      </c>
      <c r="B5" s="3">
        <f>IFERROR(__xludf.DUMMYFUNCTION("""COMPUTED_VALUE"""),6.911949685534591)</f>
        <v>6.911949686</v>
      </c>
      <c r="C5" s="3">
        <f>IFERROR(__xludf.DUMMYFUNCTION("""COMPUTED_VALUE"""),2.6666666666666665)</f>
        <v>2.666666667</v>
      </c>
      <c r="D5" s="3">
        <f>IFERROR(__xludf.DUMMYFUNCTION("""COMPUTED_VALUE"""),4.245283018867925)</f>
        <v>4.245283019</v>
      </c>
      <c r="E5" s="3">
        <f>IFERROR(__xludf.DUMMYFUNCTION("""COMPUTED_VALUE"""),0.0)</f>
        <v>0</v>
      </c>
      <c r="F5" s="3">
        <f>IFERROR(__xludf.DUMMYFUNCTION("""COMPUTED_VALUE"""),0.0)</f>
        <v>0</v>
      </c>
      <c r="G5" s="3">
        <f>IFERROR(__xludf.DUMMYFUNCTION("""COMPUTED_VALUE"""),0.0)</f>
        <v>0</v>
      </c>
      <c r="H5" s="3">
        <f>IFERROR(__xludf.DUMMYFUNCTION("""COMPUTED_VALUE"""),4.0)</f>
        <v>4</v>
      </c>
      <c r="I5" s="3">
        <f>IFERROR(__xludf.DUMMYFUNCTION("""COMPUTED_VALUE"""),4.0)</f>
        <v>4</v>
      </c>
      <c r="J5" s="3">
        <f>IFERROR(__xludf.DUMMYFUNCTION("""COMPUTED_VALUE"""),7.0)</f>
        <v>7</v>
      </c>
      <c r="K5" s="3">
        <f>IFERROR(__xludf.DUMMYFUNCTION("""COMPUTED_VALUE"""),6.0)</f>
        <v>6</v>
      </c>
      <c r="L5" s="3">
        <f>IFERROR(__xludf.DUMMYFUNCTION("""COMPUTED_VALUE"""),4.0)</f>
        <v>4</v>
      </c>
      <c r="M5" s="3">
        <f>IFERROR(__xludf.DUMMYFUNCTION("""COMPUTED_VALUE"""),8.0)</f>
        <v>8</v>
      </c>
      <c r="N5" s="3">
        <f>IFERROR(__xludf.DUMMYFUNCTION("""COMPUTED_VALUE"""),8.0)</f>
        <v>8</v>
      </c>
      <c r="O5" s="3">
        <f>IFERROR(__xludf.DUMMYFUNCTION("""COMPUTED_VALUE"""),6.0)</f>
        <v>6</v>
      </c>
      <c r="P5" s="3">
        <f>IFERROR(__xludf.DUMMYFUNCTION("""COMPUTED_VALUE"""),5.0)</f>
        <v>5</v>
      </c>
      <c r="Q5" s="3">
        <f>IFERROR(__xludf.DUMMYFUNCTION("""COMPUTED_VALUE"""),1.0)</f>
        <v>1</v>
      </c>
      <c r="R5" s="3"/>
      <c r="S5" s="3"/>
      <c r="T5" s="3"/>
      <c r="U5" s="3">
        <f>IFERROR(__xludf.DUMMYFUNCTION("""COMPUTED_VALUE"""),0.0)</f>
        <v>0</v>
      </c>
      <c r="V5" s="3"/>
      <c r="W5" s="3">
        <f>IFERROR(__xludf.DUMMYFUNCTION("""COMPUTED_VALUE"""),0.0)</f>
        <v>0</v>
      </c>
      <c r="X5" s="3"/>
      <c r="Y5" s="3">
        <f>IFERROR(__xludf.DUMMYFUNCTION("""COMPUTED_VALUE"""),0.0)</f>
        <v>0</v>
      </c>
      <c r="Z5" s="3"/>
      <c r="AA5" s="3"/>
      <c r="AB5" s="3">
        <f>IFERROR(__xludf.DUMMYFUNCTION("""COMPUTED_VALUE"""),0.0)</f>
        <v>0</v>
      </c>
      <c r="AC5" s="3"/>
      <c r="AD5" s="3"/>
      <c r="AE5" s="3"/>
      <c r="AF5" s="3">
        <f>IFERROR(__xludf.DUMMYFUNCTION("""COMPUTED_VALUE"""),0.0)</f>
        <v>0</v>
      </c>
      <c r="AG5" s="3"/>
      <c r="AH5" s="3"/>
      <c r="AI5" s="3"/>
      <c r="AJ5" s="3">
        <f>IFERROR(__xludf.DUMMYFUNCTION("""COMPUTED_VALUE"""),0.2)</f>
        <v>0.2</v>
      </c>
      <c r="AK5" s="3"/>
      <c r="AL5" s="3"/>
      <c r="AM5" s="3">
        <f>IFERROR(__xludf.DUMMYFUNCTION("""COMPUTED_VALUE"""),0.2)</f>
        <v>0.2</v>
      </c>
      <c r="AN5" s="3"/>
      <c r="AO5" s="3">
        <f>IFERROR(__xludf.DUMMYFUNCTION("""COMPUTED_VALUE"""),0.2)</f>
        <v>0.2</v>
      </c>
      <c r="AP5" s="3"/>
      <c r="AQ5" s="3">
        <f>IFERROR(__xludf.DUMMYFUNCTION("""COMPUTED_VALUE"""),0.2)</f>
        <v>0.2</v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IFERROR(__xludf.DUMMYFUNCTION("""COMPUTED_VALUE"""),"22101692")</f>
        <v>22101692</v>
      </c>
      <c r="B6" s="3">
        <f>IFERROR(__xludf.DUMMYFUNCTION("""COMPUTED_VALUE"""),3.584905660377358)</f>
        <v>3.58490566</v>
      </c>
      <c r="C6" s="3">
        <f>IFERROR(__xludf.DUMMYFUNCTION("""COMPUTED_VALUE"""),0.0)</f>
        <v>0</v>
      </c>
      <c r="D6" s="3">
        <f>IFERROR(__xludf.DUMMYFUNCTION("""COMPUTED_VALUE"""),3.584905660377358)</f>
        <v>3.58490566</v>
      </c>
      <c r="E6" s="3">
        <f>IFERROR(__xludf.DUMMYFUNCTION("""COMPUTED_VALUE"""),0.0)</f>
        <v>0</v>
      </c>
      <c r="F6" s="3">
        <f>IFERROR(__xludf.DUMMYFUNCTION("""COMPUTED_VALUE"""),0.0)</f>
        <v>0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IFERROR(__xludf.DUMMYFUNCTION("""COMPUTED_VALUE"""),0.0)</f>
        <v>0</v>
      </c>
      <c r="J6" s="3">
        <f>IFERROR(__xludf.DUMMYFUNCTION("""COMPUTED_VALUE"""),0.0)</f>
        <v>0</v>
      </c>
      <c r="K6" s="3">
        <f>IFERROR(__xludf.DUMMYFUNCTION("""COMPUTED_VALUE"""),8.0)</f>
        <v>8</v>
      </c>
      <c r="L6" s="3">
        <f>IFERROR(__xludf.DUMMYFUNCTION("""COMPUTED_VALUE"""),8.0)</f>
        <v>8</v>
      </c>
      <c r="M6" s="3">
        <f>IFERROR(__xludf.DUMMYFUNCTION("""COMPUTED_VALUE"""),0.0)</f>
        <v>0</v>
      </c>
      <c r="N6" s="3">
        <f>IFERROR(__xludf.DUMMYFUNCTION("""COMPUTED_VALUE"""),8.0)</f>
        <v>8</v>
      </c>
      <c r="O6" s="3">
        <f>IFERROR(__xludf.DUMMYFUNCTION("""COMPUTED_VALUE"""),8.0)</f>
        <v>8</v>
      </c>
      <c r="P6" s="3">
        <f>IFERROR(__xludf.DUMMYFUNCTION("""COMPUTED_VALUE"""),6.0)</f>
        <v>6</v>
      </c>
      <c r="Q6" s="3">
        <f>IFERROR(__xludf.DUMMYFUNCTION("""COMPUTED_VALUE"""),0.0)</f>
        <v>0</v>
      </c>
      <c r="R6" s="3"/>
      <c r="S6" s="3"/>
      <c r="T6" s="3"/>
      <c r="U6" s="3">
        <f>IFERROR(__xludf.DUMMYFUNCTION("""COMPUTED_VALUE"""),0.0)</f>
        <v>0</v>
      </c>
      <c r="V6" s="3"/>
      <c r="W6" s="3">
        <f>IFERROR(__xludf.DUMMYFUNCTION("""COMPUTED_VALUE"""),0.0)</f>
        <v>0</v>
      </c>
      <c r="X6" s="3"/>
      <c r="Y6" s="3">
        <f>IFERROR(__xludf.DUMMYFUNCTION("""COMPUTED_VALUE"""),0.0)</f>
        <v>0</v>
      </c>
      <c r="Z6" s="3"/>
      <c r="AA6" s="3"/>
      <c r="AB6" s="3">
        <f>IFERROR(__xludf.DUMMYFUNCTION("""COMPUTED_VALUE"""),0.0)</f>
        <v>0</v>
      </c>
      <c r="AC6" s="3"/>
      <c r="AD6" s="3"/>
      <c r="AE6" s="3"/>
      <c r="AF6" s="3">
        <f>IFERROR(__xludf.DUMMYFUNCTION("""COMPUTED_VALUE"""),0.0)</f>
        <v>0</v>
      </c>
      <c r="AG6" s="3"/>
      <c r="AH6" s="3"/>
      <c r="AI6" s="3"/>
      <c r="AJ6" s="3">
        <f>IFERROR(__xludf.DUMMYFUNCTION("""COMPUTED_VALUE"""),0.0)</f>
        <v>0</v>
      </c>
      <c r="AK6" s="3"/>
      <c r="AL6" s="3"/>
      <c r="AM6" s="3">
        <f>IFERROR(__xludf.DUMMYFUNCTION("""COMPUTED_VALUE"""),0.0)</f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IFERROR(__xludf.DUMMYFUNCTION("""COMPUTED_VALUE"""),"22201089")</f>
        <v>22201089</v>
      </c>
      <c r="B7" s="3">
        <f>IFERROR(__xludf.DUMMYFUNCTION("""COMPUTED_VALUE"""),1.9811320754716983)</f>
        <v>1.981132075</v>
      </c>
      <c r="C7" s="3">
        <f>IFERROR(__xludf.DUMMYFUNCTION("""COMPUTED_VALUE"""),0.0)</f>
        <v>0</v>
      </c>
      <c r="D7" s="3">
        <f>IFERROR(__xludf.DUMMYFUNCTION("""COMPUTED_VALUE"""),1.9811320754716983)</f>
        <v>1.981132075</v>
      </c>
      <c r="E7" s="3">
        <f>IFERROR(__xludf.DUMMYFUNCTION("""COMPUTED_VALUE"""),0.0)</f>
        <v>0</v>
      </c>
      <c r="F7" s="3">
        <f>IFERROR(__xludf.DUMMYFUNCTION("""COMPUTED_VALUE"""),0.0)</f>
        <v>0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IFERROR(__xludf.DUMMYFUNCTION("""COMPUTED_VALUE"""),0.0)</f>
        <v>0</v>
      </c>
      <c r="J7" s="3">
        <f>IFERROR(__xludf.DUMMYFUNCTION("""COMPUTED_VALUE"""),0.0)</f>
        <v>0</v>
      </c>
      <c r="K7" s="3">
        <f>IFERROR(__xludf.DUMMYFUNCTION("""COMPUTED_VALUE"""),0.0)</f>
        <v>0</v>
      </c>
      <c r="L7" s="3">
        <f>IFERROR(__xludf.DUMMYFUNCTION("""COMPUTED_VALUE"""),0.0)</f>
        <v>0</v>
      </c>
      <c r="M7" s="3">
        <f>IFERROR(__xludf.DUMMYFUNCTION("""COMPUTED_VALUE"""),6.0)</f>
        <v>6</v>
      </c>
      <c r="N7" s="3">
        <f>IFERROR(__xludf.DUMMYFUNCTION("""COMPUTED_VALUE"""),3.0)</f>
        <v>3</v>
      </c>
      <c r="O7" s="3">
        <f>IFERROR(__xludf.DUMMYFUNCTION("""COMPUTED_VALUE"""),6.0)</f>
        <v>6</v>
      </c>
      <c r="P7" s="3">
        <f>IFERROR(__xludf.DUMMYFUNCTION("""COMPUTED_VALUE"""),6.0)</f>
        <v>6</v>
      </c>
      <c r="Q7" s="3">
        <f>IFERROR(__xludf.DUMMYFUNCTION("""COMPUTED_VALUE"""),0.0)</f>
        <v>0</v>
      </c>
      <c r="R7" s="3"/>
      <c r="S7" s="3"/>
      <c r="T7" s="3"/>
      <c r="U7" s="3"/>
      <c r="V7" s="3"/>
      <c r="W7" s="3"/>
      <c r="X7" s="3"/>
      <c r="Y7" s="3">
        <f>IFERROR(__xludf.DUMMYFUNCTION("""COMPUTED_VALUE"""),0.0)</f>
        <v>0</v>
      </c>
      <c r="Z7" s="3"/>
      <c r="AA7" s="3"/>
      <c r="AB7" s="3">
        <f>IFERROR(__xludf.DUMMYFUNCTION("""COMPUTED_VALUE"""),0.0)</f>
        <v>0</v>
      </c>
      <c r="AC7" s="3"/>
      <c r="AD7" s="3"/>
      <c r="AE7" s="3"/>
      <c r="AF7" s="3">
        <f>IFERROR(__xludf.DUMMYFUNCTION("""COMPUTED_VALUE"""),0.0)</f>
        <v>0</v>
      </c>
      <c r="AG7" s="3"/>
      <c r="AH7" s="3"/>
      <c r="AI7" s="3"/>
      <c r="AJ7" s="3"/>
      <c r="AK7" s="3"/>
      <c r="AL7" s="3"/>
      <c r="AM7" s="3"/>
      <c r="AN7" s="3"/>
      <c r="AO7" s="3">
        <f>IFERROR(__xludf.DUMMYFUNCTION("""COMPUTED_VALUE"""),0.0)</f>
        <v>0</v>
      </c>
      <c r="AP7" s="3"/>
      <c r="AQ7" s="3">
        <f>IFERROR(__xludf.DUMMYFUNCTION("""COMPUTED_VALUE"""),0.0)</f>
        <v>0</v>
      </c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IFERROR(__xludf.DUMMYFUNCTION("""COMPUTED_VALUE"""),"22201353")</f>
        <v>22201353</v>
      </c>
      <c r="B8" s="3">
        <f>IFERROR(__xludf.DUMMYFUNCTION("""COMPUTED_VALUE"""),3.0188679245283017)</f>
        <v>3.018867925</v>
      </c>
      <c r="C8" s="3">
        <f>IFERROR(__xludf.DUMMYFUNCTION("""COMPUTED_VALUE"""),0.0)</f>
        <v>0</v>
      </c>
      <c r="D8" s="3">
        <f>IFERROR(__xludf.DUMMYFUNCTION("""COMPUTED_VALUE"""),3.0188679245283017)</f>
        <v>3.018867925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>
        <f>IFERROR(__xludf.DUMMYFUNCTION("""COMPUTED_VALUE"""),0.0)</f>
        <v>0</v>
      </c>
      <c r="K8" s="3">
        <f>IFERROR(__xludf.DUMMYFUNCTION("""COMPUTED_VALUE"""),8.0)</f>
        <v>8</v>
      </c>
      <c r="L8" s="3">
        <f>IFERROR(__xludf.DUMMYFUNCTION("""COMPUTED_VALUE"""),8.0)</f>
        <v>8</v>
      </c>
      <c r="M8" s="3">
        <f>IFERROR(__xludf.DUMMYFUNCTION("""COMPUTED_VALUE"""),8.0)</f>
        <v>8</v>
      </c>
      <c r="N8" s="3">
        <f>IFERROR(__xludf.DUMMYFUNCTION("""COMPUTED_VALUE"""),8.0)</f>
        <v>8</v>
      </c>
      <c r="O8" s="3">
        <f>IFERROR(__xludf.DUMMYFUNCTION("""COMPUTED_VALUE"""),0.0)</f>
        <v>0</v>
      </c>
      <c r="P8" s="3">
        <f>IFERROR(__xludf.DUMMYFUNCTION("""COMPUTED_VALUE"""),0.0)</f>
        <v>0</v>
      </c>
      <c r="Q8" s="3">
        <f>IFERROR(__xludf.DUMMYFUNCTION("""COMPUTED_VALUE"""),0.0)</f>
        <v>0</v>
      </c>
      <c r="R8" s="3"/>
      <c r="S8" s="3"/>
      <c r="T8" s="3"/>
      <c r="U8" s="3">
        <f>IFERROR(__xludf.DUMMYFUNCTION("""COMPUTED_VALUE"""),0.0)</f>
        <v>0</v>
      </c>
      <c r="V8" s="3"/>
      <c r="W8" s="3">
        <f>IFERROR(__xludf.DUMMYFUNCTION("""COMPUTED_VALUE"""),0.0)</f>
        <v>0</v>
      </c>
      <c r="X8" s="3"/>
      <c r="Y8" s="3">
        <f>IFERROR(__xludf.DUMMYFUNCTION("""COMPUTED_VALUE"""),0.0)</f>
        <v>0</v>
      </c>
      <c r="Z8" s="3"/>
      <c r="AA8" s="3"/>
      <c r="AB8" s="3">
        <f>IFERROR(__xludf.DUMMYFUNCTION("""COMPUTED_VALUE"""),0.0)</f>
        <v>0</v>
      </c>
      <c r="AC8" s="3"/>
      <c r="AD8" s="3"/>
      <c r="AE8" s="3"/>
      <c r="AF8" s="3">
        <f>IFERROR(__xludf.DUMMYFUNCTION("""COMPUTED_VALUE"""),0.0)</f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IFERROR(__xludf.DUMMYFUNCTION("""COMPUTED_VALUE"""),"22201780")</f>
        <v>22201780</v>
      </c>
      <c r="B9" s="3">
        <f>IFERROR(__xludf.DUMMYFUNCTION("""COMPUTED_VALUE"""),3.4088050314465406)</f>
        <v>3.408805031</v>
      </c>
      <c r="C9" s="3">
        <f>IFERROR(__xludf.DUMMYFUNCTION("""COMPUTED_VALUE"""),1.3333333333333333)</f>
        <v>1.333333333</v>
      </c>
      <c r="D9" s="3">
        <f>IFERROR(__xludf.DUMMYFUNCTION("""COMPUTED_VALUE"""),2.0754716981132075)</f>
        <v>2.075471698</v>
      </c>
      <c r="E9" s="3">
        <f>IFERROR(__xludf.DUMMYFUNCTION("""COMPUTED_VALUE"""),0.0)</f>
        <v>0</v>
      </c>
      <c r="F9" s="3">
        <f>IFERROR(__xludf.DUMMYFUNCTION("""COMPUTED_VALUE"""),0.0)</f>
        <v>0</v>
      </c>
      <c r="G9" s="3">
        <f>IFERROR(__xludf.DUMMYFUNCTION("""COMPUTED_VALUE"""),4.0)</f>
        <v>4</v>
      </c>
      <c r="H9" s="3">
        <f>IFERROR(__xludf.DUMMYFUNCTION("""COMPUTED_VALUE"""),0.0)</f>
        <v>0</v>
      </c>
      <c r="I9" s="3">
        <f>IFERROR(__xludf.DUMMYFUNCTION("""COMPUTED_VALUE"""),0.0)</f>
        <v>0</v>
      </c>
      <c r="J9" s="3">
        <f>IFERROR(__xludf.DUMMYFUNCTION("""COMPUTED_VALUE"""),0.0)</f>
        <v>0</v>
      </c>
      <c r="K9" s="3">
        <f>IFERROR(__xludf.DUMMYFUNCTION("""COMPUTED_VALUE"""),8.0)</f>
        <v>8</v>
      </c>
      <c r="L9" s="3">
        <f>IFERROR(__xludf.DUMMYFUNCTION("""COMPUTED_VALUE"""),0.0)</f>
        <v>0</v>
      </c>
      <c r="M9" s="3">
        <f>IFERROR(__xludf.DUMMYFUNCTION("""COMPUTED_VALUE"""),8.0)</f>
        <v>8</v>
      </c>
      <c r="N9" s="3">
        <f>IFERROR(__xludf.DUMMYFUNCTION("""COMPUTED_VALUE"""),0.0)</f>
        <v>0</v>
      </c>
      <c r="O9" s="3">
        <f>IFERROR(__xludf.DUMMYFUNCTION("""COMPUTED_VALUE"""),0.0)</f>
        <v>0</v>
      </c>
      <c r="P9" s="3">
        <f>IFERROR(__xludf.DUMMYFUNCTION("""COMPUTED_VALUE"""),6.0)</f>
        <v>6</v>
      </c>
      <c r="Q9" s="3">
        <f>IFERROR(__xludf.DUMMYFUNCTION("""COMPUTED_VALUE"""),0.0)</f>
        <v>0</v>
      </c>
      <c r="R9" s="3"/>
      <c r="S9" s="3"/>
      <c r="T9" s="3"/>
      <c r="U9" s="3">
        <f>IFERROR(__xludf.DUMMYFUNCTION("""COMPUTED_VALUE"""),0.0)</f>
        <v>0</v>
      </c>
      <c r="V9" s="3"/>
      <c r="W9" s="3">
        <f>IFERROR(__xludf.DUMMYFUNCTION("""COMPUTED_VALUE"""),0.0)</f>
        <v>0</v>
      </c>
      <c r="X9" s="3"/>
      <c r="Y9" s="3">
        <f>IFERROR(__xludf.DUMMYFUNCTION("""COMPUTED_VALUE"""),0.0)</f>
        <v>0</v>
      </c>
      <c r="Z9" s="3"/>
      <c r="AA9" s="3"/>
      <c r="AB9" s="3"/>
      <c r="AC9" s="3"/>
      <c r="AD9" s="3"/>
      <c r="AE9" s="3"/>
      <c r="AF9" s="3">
        <f>IFERROR(__xludf.DUMMYFUNCTION("""COMPUTED_VALUE"""),0.2)</f>
        <v>0.2</v>
      </c>
      <c r="AG9" s="3"/>
      <c r="AH9" s="3"/>
      <c r="AI9" s="3"/>
      <c r="AJ9" s="3">
        <f>IFERROR(__xludf.DUMMYFUNCTION("""COMPUTED_VALUE"""),0.0)</f>
        <v>0</v>
      </c>
      <c r="AK9" s="3"/>
      <c r="AL9" s="3"/>
      <c r="AM9" s="3">
        <f>IFERROR(__xludf.DUMMYFUNCTION("""COMPUTED_VALUE"""),0.0)</f>
        <v>0</v>
      </c>
      <c r="AN9" s="3"/>
      <c r="AO9" s="3">
        <f>IFERROR(__xludf.DUMMYFUNCTION("""COMPUTED_VALUE"""),0.0)</f>
        <v>0</v>
      </c>
      <c r="AP9" s="3"/>
      <c r="AQ9" s="3">
        <f>IFERROR(__xludf.DUMMYFUNCTION("""COMPUTED_VALUE"""),0.0)</f>
        <v>0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IFERROR(__xludf.DUMMYFUNCTION("""COMPUTED_VALUE"""),"22201817")</f>
        <v>22201817</v>
      </c>
      <c r="B10" s="3">
        <f>IFERROR(__xludf.DUMMYFUNCTION("""COMPUTED_VALUE"""),9.49685534591195)</f>
        <v>9.496855346</v>
      </c>
      <c r="C10" s="3">
        <f>IFERROR(__xludf.DUMMYFUNCTION("""COMPUTED_VALUE"""),6.666666666666667)</f>
        <v>6.666666667</v>
      </c>
      <c r="D10" s="3">
        <f>IFERROR(__xludf.DUMMYFUNCTION("""COMPUTED_VALUE"""),2.830188679245283)</f>
        <v>2.830188679</v>
      </c>
      <c r="E10" s="3">
        <f>IFERROR(__xludf.DUMMYFUNCTION("""COMPUTED_VALUE"""),20.0)</f>
        <v>20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IFERROR(__xludf.DUMMYFUNCTION("""COMPUTED_VALUE"""),4.0)</f>
        <v>4</v>
      </c>
      <c r="K10" s="3">
        <f>IFERROR(__xludf.DUMMYFUNCTION("""COMPUTED_VALUE"""),3.0)</f>
        <v>3</v>
      </c>
      <c r="L10" s="3">
        <f>IFERROR(__xludf.DUMMYFUNCTION("""COMPUTED_VALUE"""),8.0)</f>
        <v>8</v>
      </c>
      <c r="M10" s="3">
        <f>IFERROR(__xludf.DUMMYFUNCTION("""COMPUTED_VALUE"""),8.0)</f>
        <v>8</v>
      </c>
      <c r="N10" s="3">
        <f>IFERROR(__xludf.DUMMYFUNCTION("""COMPUTED_VALUE"""),0.0)</f>
        <v>0</v>
      </c>
      <c r="O10" s="3">
        <f>IFERROR(__xludf.DUMMYFUNCTION("""COMPUTED_VALUE"""),7.0)</f>
        <v>7</v>
      </c>
      <c r="P10" s="3">
        <f>IFERROR(__xludf.DUMMYFUNCTION("""COMPUTED_VALUE"""),0.0)</f>
        <v>0</v>
      </c>
      <c r="Q10" s="3">
        <f>IFERROR(__xludf.DUMMYFUNCTION("""COMPUTED_VALUE"""),0.0)</f>
        <v>0</v>
      </c>
      <c r="R10" s="3"/>
      <c r="S10" s="3"/>
      <c r="T10" s="3"/>
      <c r="U10" s="3">
        <f>IFERROR(__xludf.DUMMYFUNCTION("""COMPUTED_VALUE"""),1.0)</f>
        <v>1</v>
      </c>
      <c r="V10" s="3"/>
      <c r="W10" s="3">
        <f>IFERROR(__xludf.DUMMYFUNCTION("""COMPUTED_VALUE"""),1.0)</f>
        <v>1</v>
      </c>
      <c r="X10" s="3"/>
      <c r="Y10" s="3"/>
      <c r="Z10" s="3"/>
      <c r="AA10" s="3"/>
      <c r="AB10" s="3"/>
      <c r="AC10" s="3"/>
      <c r="AD10" s="3"/>
      <c r="AE10" s="3"/>
      <c r="AF10" s="3">
        <f>IFERROR(__xludf.DUMMYFUNCTION("""COMPUTED_VALUE"""),0.0)</f>
        <v>0</v>
      </c>
      <c r="AG10" s="3"/>
      <c r="AH10" s="3"/>
      <c r="AI10" s="3"/>
      <c r="AJ10" s="3">
        <f>IFERROR(__xludf.DUMMYFUNCTION("""COMPUTED_VALUE"""),0.0)</f>
        <v>0</v>
      </c>
      <c r="AK10" s="3"/>
      <c r="AL10" s="3"/>
      <c r="AM10" s="3">
        <f>IFERROR(__xludf.DUMMYFUNCTION("""COMPUTED_VALUE"""),0.0)</f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IFERROR(__xludf.DUMMYFUNCTION("""COMPUTED_VALUE"""),"22299279")</f>
        <v>22299279</v>
      </c>
      <c r="B11" s="3">
        <f>IFERROR(__xludf.DUMMYFUNCTION("""COMPUTED_VALUE"""),4.433962264150944)</f>
        <v>4.433962264</v>
      </c>
      <c r="C11" s="3">
        <f>IFERROR(__xludf.DUMMYFUNCTION("""COMPUTED_VALUE"""),0.0)</f>
        <v>0</v>
      </c>
      <c r="D11" s="3">
        <f>IFERROR(__xludf.DUMMYFUNCTION("""COMPUTED_VALUE"""),4.433962264150944)</f>
        <v>4.433962264</v>
      </c>
      <c r="E11" s="3">
        <f>IFERROR(__xludf.DUMMYFUNCTION("""COMPUTED_VALUE"""),0.0)</f>
        <v>0</v>
      </c>
      <c r="F11" s="3">
        <f>IFERROR(__xludf.DUMMYFUNCTION("""COMPUTED_VALUE"""),0.0)</f>
        <v>0</v>
      </c>
      <c r="G11" s="3">
        <f>IFERROR(__xludf.DUMMYFUNCTION("""COMPUTED_VALUE"""),0.0)</f>
        <v>0</v>
      </c>
      <c r="H11" s="3">
        <f>IFERROR(__xludf.DUMMYFUNCTION("""COMPUTED_VALUE"""),0.0)</f>
        <v>0</v>
      </c>
      <c r="I11" s="3">
        <f>IFERROR(__xludf.DUMMYFUNCTION("""COMPUTED_VALUE"""),0.0)</f>
        <v>0</v>
      </c>
      <c r="J11" s="3">
        <f>IFERROR(__xludf.DUMMYFUNCTION("""COMPUTED_VALUE"""),7.0)</f>
        <v>7</v>
      </c>
      <c r="K11" s="3">
        <f>IFERROR(__xludf.DUMMYFUNCTION("""COMPUTED_VALUE"""),8.0)</f>
        <v>8</v>
      </c>
      <c r="L11" s="3">
        <f>IFERROR(__xludf.DUMMYFUNCTION("""COMPUTED_VALUE"""),8.0)</f>
        <v>8</v>
      </c>
      <c r="M11" s="3">
        <f>IFERROR(__xludf.DUMMYFUNCTION("""COMPUTED_VALUE"""),8.0)</f>
        <v>8</v>
      </c>
      <c r="N11" s="3">
        <f>IFERROR(__xludf.DUMMYFUNCTION("""COMPUTED_VALUE"""),7.0)</f>
        <v>7</v>
      </c>
      <c r="O11" s="3">
        <f>IFERROR(__xludf.DUMMYFUNCTION("""COMPUTED_VALUE"""),0.0)</f>
        <v>0</v>
      </c>
      <c r="P11" s="3">
        <f>IFERROR(__xludf.DUMMYFUNCTION("""COMPUTED_VALUE"""),6.0)</f>
        <v>6</v>
      </c>
      <c r="Q11" s="3">
        <f>IFERROR(__xludf.DUMMYFUNCTION("""COMPUTED_VALUE"""),3.0)</f>
        <v>3</v>
      </c>
      <c r="R11" s="3"/>
      <c r="S11" s="3"/>
      <c r="T11" s="3"/>
      <c r="U11" s="3"/>
      <c r="V11" s="3"/>
      <c r="W11" s="3"/>
      <c r="X11" s="3"/>
      <c r="Y11" s="3">
        <f>IFERROR(__xludf.DUMMYFUNCTION("""COMPUTED_VALUE"""),0.0)</f>
        <v>0</v>
      </c>
      <c r="Z11" s="3"/>
      <c r="AA11" s="3"/>
      <c r="AB11" s="3">
        <f>IFERROR(__xludf.DUMMYFUNCTION("""COMPUTED_VALUE"""),0.0)</f>
        <v>0</v>
      </c>
      <c r="AC11" s="3"/>
      <c r="AD11" s="3"/>
      <c r="AE11" s="3"/>
      <c r="AF11" s="3">
        <f>IFERROR(__xludf.DUMMYFUNCTION("""COMPUTED_VALUE"""),0.0)</f>
        <v>0</v>
      </c>
      <c r="AG11" s="3"/>
      <c r="AH11" s="3"/>
      <c r="AI11" s="3"/>
      <c r="AJ11" s="3"/>
      <c r="AK11" s="3"/>
      <c r="AL11" s="3"/>
      <c r="AM11" s="3"/>
      <c r="AN11" s="3"/>
      <c r="AO11" s="3">
        <f>IFERROR(__xludf.DUMMYFUNCTION("""COMPUTED_VALUE"""),0.0)</f>
        <v>0</v>
      </c>
      <c r="AP11" s="3"/>
      <c r="AQ11" s="3">
        <f>IFERROR(__xludf.DUMMYFUNCTION("""COMPUTED_VALUE"""),0.0)</f>
        <v>0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IFERROR(__xludf.DUMMYFUNCTION("""COMPUTED_VALUE"""),"22299437")</f>
        <v>22299437</v>
      </c>
      <c r="B12" s="3">
        <f>IFERROR(__xludf.DUMMYFUNCTION("""COMPUTED_VALUE"""),0.0)</f>
        <v>0</v>
      </c>
      <c r="C12" s="3">
        <f>IFERROR(__xludf.DUMMYFUNCTION("""COMPUTED_VALUE"""),0.0)</f>
        <v>0</v>
      </c>
      <c r="D12" s="3">
        <f>IFERROR(__xludf.DUMMYFUNCTION("""COMPUTED_VALUE"""),0.0)</f>
        <v>0</v>
      </c>
      <c r="E12" s="3">
        <f>IFERROR(__xludf.DUMMYFUNCTION("""COMPUTED_VALUE"""),0.0)</f>
        <v>0</v>
      </c>
      <c r="F12" s="3">
        <f>IFERROR(__xludf.DUMMYFUNCTION("""COMPUTED_VALUE"""),0.0)</f>
        <v>0</v>
      </c>
      <c r="G12" s="3">
        <f>IFERROR(__xludf.DUMMYFUNCTION("""COMPUTED_VALUE"""),0.0)</f>
        <v>0</v>
      </c>
      <c r="H12" s="3">
        <f>IFERROR(__xludf.DUMMYFUNCTION("""COMPUTED_VALUE"""),0.0)</f>
        <v>0</v>
      </c>
      <c r="I12" s="3">
        <f>IFERROR(__xludf.DUMMYFUNCTION("""COMPUTED_VALUE"""),0.0)</f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IFERROR(__xludf.DUMMYFUNCTION("""COMPUTED_VALUE"""),"22301248")</f>
        <v>22301248</v>
      </c>
      <c r="B13" s="3">
        <f>IFERROR(__xludf.DUMMYFUNCTION("""COMPUTED_VALUE"""),7.0)</f>
        <v>7</v>
      </c>
      <c r="C13" s="3">
        <f>IFERROR(__xludf.DUMMYFUNCTION("""COMPUTED_VALUE"""),2.0)</f>
        <v>2</v>
      </c>
      <c r="D13" s="3">
        <f>IFERROR(__xludf.DUMMYFUNCTION("""COMPUTED_VALUE"""),5.0)</f>
        <v>5</v>
      </c>
      <c r="E13" s="3">
        <f>IFERROR(__xludf.DUMMYFUNCTION("""COMPUTED_VALUE"""),2.0)</f>
        <v>2</v>
      </c>
      <c r="F13" s="3">
        <f>IFERROR(__xludf.DUMMYFUNCTION("""COMPUTED_VALUE"""),0.0)</f>
        <v>0</v>
      </c>
      <c r="G13" s="3">
        <f>IFERROR(__xludf.DUMMYFUNCTION("""COMPUTED_VALUE"""),0.0)</f>
        <v>0</v>
      </c>
      <c r="H13" s="3">
        <f>IFERROR(__xludf.DUMMYFUNCTION("""COMPUTED_VALUE"""),0.0)</f>
        <v>0</v>
      </c>
      <c r="I13" s="3">
        <f>IFERROR(__xludf.DUMMYFUNCTION("""COMPUTED_VALUE"""),4.0)</f>
        <v>4</v>
      </c>
      <c r="J13" s="3">
        <f>IFERROR(__xludf.DUMMYFUNCTION("""COMPUTED_VALUE"""),8.0)</f>
        <v>8</v>
      </c>
      <c r="K13" s="3">
        <f>IFERROR(__xludf.DUMMYFUNCTION("""COMPUTED_VALUE"""),8.0)</f>
        <v>8</v>
      </c>
      <c r="L13" s="3">
        <f>IFERROR(__xludf.DUMMYFUNCTION("""COMPUTED_VALUE"""),8.0)</f>
        <v>8</v>
      </c>
      <c r="M13" s="3">
        <f>IFERROR(__xludf.DUMMYFUNCTION("""COMPUTED_VALUE"""),8.0)</f>
        <v>8</v>
      </c>
      <c r="N13" s="3">
        <f>IFERROR(__xludf.DUMMYFUNCTION("""COMPUTED_VALUE"""),8.0)</f>
        <v>8</v>
      </c>
      <c r="O13" s="3">
        <f>IFERROR(__xludf.DUMMYFUNCTION("""COMPUTED_VALUE"""),8.0)</f>
        <v>8</v>
      </c>
      <c r="P13" s="3">
        <f>IFERROR(__xludf.DUMMYFUNCTION("""COMPUTED_VALUE"""),6.0)</f>
        <v>6</v>
      </c>
      <c r="Q13" s="3">
        <f>IFERROR(__xludf.DUMMYFUNCTION("""COMPUTED_VALUE"""),0.0)</f>
        <v>0</v>
      </c>
      <c r="R13" s="3"/>
      <c r="S13" s="3"/>
      <c r="T13" s="3"/>
      <c r="U13" s="3">
        <f>IFERROR(__xludf.DUMMYFUNCTION("""COMPUTED_VALUE"""),0.1)</f>
        <v>0.1</v>
      </c>
      <c r="V13" s="3"/>
      <c r="W13" s="3">
        <f>IFERROR(__xludf.DUMMYFUNCTION("""COMPUTED_VALUE"""),0.1)</f>
        <v>0.1</v>
      </c>
      <c r="X13" s="3"/>
      <c r="Y13" s="3">
        <f>IFERROR(__xludf.DUMMYFUNCTION("""COMPUTED_VALUE"""),0.0)</f>
        <v>0</v>
      </c>
      <c r="Z13" s="3"/>
      <c r="AA13" s="3"/>
      <c r="AB13" s="3">
        <f>IFERROR(__xludf.DUMMYFUNCTION("""COMPUTED_VALUE"""),0.0)</f>
        <v>0</v>
      </c>
      <c r="AC13" s="3"/>
      <c r="AD13" s="3"/>
      <c r="AE13" s="3"/>
      <c r="AF13" s="3">
        <f>IFERROR(__xludf.DUMMYFUNCTION("""COMPUTED_VALUE"""),0.0)</f>
        <v>0</v>
      </c>
      <c r="AG13" s="3"/>
      <c r="AH13" s="3"/>
      <c r="AI13" s="3"/>
      <c r="AJ13" s="3">
        <f>IFERROR(__xludf.DUMMYFUNCTION("""COMPUTED_VALUE"""),0.0)</f>
        <v>0</v>
      </c>
      <c r="AK13" s="3"/>
      <c r="AL13" s="3"/>
      <c r="AM13" s="3">
        <f>IFERROR(__xludf.DUMMYFUNCTION("""COMPUTED_VALUE"""),0.0)</f>
        <v>0</v>
      </c>
      <c r="AN13" s="3"/>
      <c r="AO13" s="3">
        <f>IFERROR(__xludf.DUMMYFUNCTION("""COMPUTED_VALUE"""),0.2)</f>
        <v>0.2</v>
      </c>
      <c r="AP13" s="3"/>
      <c r="AQ13" s="3">
        <f>IFERROR(__xludf.DUMMYFUNCTION("""COMPUTED_VALUE"""),0.2)</f>
        <v>0.2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IFERROR(__xludf.DUMMYFUNCTION("""COMPUTED_VALUE"""),"23101170")</f>
        <v>23101170</v>
      </c>
      <c r="B14" s="3">
        <f>IFERROR(__xludf.DUMMYFUNCTION("""COMPUTED_VALUE"""),1.8867924528301887)</f>
        <v>1.886792453</v>
      </c>
      <c r="C14" s="3">
        <f>IFERROR(__xludf.DUMMYFUNCTION("""COMPUTED_VALUE"""),0.0)</f>
        <v>0</v>
      </c>
      <c r="D14" s="3">
        <f>IFERROR(__xludf.DUMMYFUNCTION("""COMPUTED_VALUE"""),1.8867924528301887)</f>
        <v>1.886792453</v>
      </c>
      <c r="E14" s="3">
        <f>IFERROR(__xludf.DUMMYFUNCTION("""COMPUTED_VALUE"""),0.0)</f>
        <v>0</v>
      </c>
      <c r="F14" s="3">
        <f>IFERROR(__xludf.DUMMYFUNCTION("""COMPUTED_VALUE"""),0.0)</f>
        <v>0</v>
      </c>
      <c r="G14" s="3">
        <f>IFERROR(__xludf.DUMMYFUNCTION("""COMPUTED_VALUE"""),0.0)</f>
        <v>0</v>
      </c>
      <c r="H14" s="3">
        <f>IFERROR(__xludf.DUMMYFUNCTION("""COMPUTED_VALUE"""),0.0)</f>
        <v>0</v>
      </c>
      <c r="I14" s="3">
        <f>IFERROR(__xludf.DUMMYFUNCTION("""COMPUTED_VALUE"""),0.0)</f>
        <v>0</v>
      </c>
      <c r="J14" s="3">
        <f>IFERROR(__xludf.DUMMYFUNCTION("""COMPUTED_VALUE"""),0.0)</f>
        <v>0</v>
      </c>
      <c r="K14" s="3">
        <f>IFERROR(__xludf.DUMMYFUNCTION("""COMPUTED_VALUE"""),8.0)</f>
        <v>8</v>
      </c>
      <c r="L14" s="3">
        <f>IFERROR(__xludf.DUMMYFUNCTION("""COMPUTED_VALUE"""),5.0)</f>
        <v>5</v>
      </c>
      <c r="M14" s="3">
        <f>IFERROR(__xludf.DUMMYFUNCTION("""COMPUTED_VALUE"""),0.0)</f>
        <v>0</v>
      </c>
      <c r="N14" s="3">
        <f>IFERROR(__xludf.DUMMYFUNCTION("""COMPUTED_VALUE"""),4.0)</f>
        <v>4</v>
      </c>
      <c r="O14" s="3">
        <f>IFERROR(__xludf.DUMMYFUNCTION("""COMPUTED_VALUE"""),3.0)</f>
        <v>3</v>
      </c>
      <c r="P14" s="3">
        <f>IFERROR(__xludf.DUMMYFUNCTION("""COMPUTED_VALUE"""),0.0)</f>
        <v>0</v>
      </c>
      <c r="Q14" s="3">
        <f>IFERROR(__xludf.DUMMYFUNCTION("""COMPUTED_VALUE"""),0.0)</f>
        <v>0</v>
      </c>
      <c r="R14" s="3"/>
      <c r="S14" s="3"/>
      <c r="T14" s="3"/>
      <c r="U14" s="3">
        <f>IFERROR(__xludf.DUMMYFUNCTION("""COMPUTED_VALUE"""),0.0)</f>
        <v>0</v>
      </c>
      <c r="V14" s="3"/>
      <c r="W14" s="3">
        <f>IFERROR(__xludf.DUMMYFUNCTION("""COMPUTED_VALUE"""),0.0)</f>
        <v>0</v>
      </c>
      <c r="X14" s="3"/>
      <c r="Y14" s="3">
        <f>IFERROR(__xludf.DUMMYFUNCTION("""COMPUTED_VALUE"""),0.0)</f>
        <v>0</v>
      </c>
      <c r="Z14" s="3"/>
      <c r="AA14" s="3"/>
      <c r="AB14" s="3">
        <f>IFERROR(__xludf.DUMMYFUNCTION("""COMPUTED_VALUE"""),0.0)</f>
        <v>0</v>
      </c>
      <c r="AC14" s="3"/>
      <c r="AD14" s="3"/>
      <c r="AE14" s="3"/>
      <c r="AF14" s="3"/>
      <c r="AG14" s="3"/>
      <c r="AH14" s="3"/>
      <c r="AI14" s="3"/>
      <c r="AJ14" s="3">
        <f>IFERROR(__xludf.DUMMYFUNCTION("""COMPUTED_VALUE"""),0.0)</f>
        <v>0</v>
      </c>
      <c r="AK14" s="3"/>
      <c r="AL14" s="3"/>
      <c r="AM14" s="3">
        <f>IFERROR(__xludf.DUMMYFUNCTION("""COMPUTED_VALUE"""),0.0)</f>
        <v>0</v>
      </c>
      <c r="AN14" s="3"/>
      <c r="AO14" s="3">
        <f>IFERROR(__xludf.DUMMYFUNCTION("""COMPUTED_VALUE"""),0.0)</f>
        <v>0</v>
      </c>
      <c r="AP14" s="3"/>
      <c r="AQ14" s="3">
        <f>IFERROR(__xludf.DUMMYFUNCTION("""COMPUTED_VALUE"""),0.0)</f>
        <v>0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IFERROR(__xludf.DUMMYFUNCTION("""COMPUTED_VALUE"""),"23101273")</f>
        <v>23101273</v>
      </c>
      <c r="B15" s="3">
        <f>IFERROR(__xludf.DUMMYFUNCTION("""COMPUTED_VALUE"""),5.0)</f>
        <v>5</v>
      </c>
      <c r="C15" s="3">
        <f>IFERROR(__xludf.DUMMYFUNCTION("""COMPUTED_VALUE"""),0.0)</f>
        <v>0</v>
      </c>
      <c r="D15" s="3">
        <f>IFERROR(__xludf.DUMMYFUNCTION("""COMPUTED_VALUE"""),5.0)</f>
        <v>5</v>
      </c>
      <c r="E15" s="3">
        <f>IFERROR(__xludf.DUMMYFUNCTION("""COMPUTED_VALUE"""),0.0)</f>
        <v>0</v>
      </c>
      <c r="F15" s="3">
        <f>IFERROR(__xludf.DUMMYFUNCTION("""COMPUTED_VALUE"""),0.0)</f>
        <v>0</v>
      </c>
      <c r="G15" s="3">
        <f>IFERROR(__xludf.DUMMYFUNCTION("""COMPUTED_VALUE"""),0.0)</f>
        <v>0</v>
      </c>
      <c r="H15" s="3">
        <f>IFERROR(__xludf.DUMMYFUNCTION("""COMPUTED_VALUE"""),0.0)</f>
        <v>0</v>
      </c>
      <c r="I15" s="3">
        <f>IFERROR(__xludf.DUMMYFUNCTION("""COMPUTED_VALUE"""),0.0)</f>
        <v>0</v>
      </c>
      <c r="J15" s="3">
        <f>IFERROR(__xludf.DUMMYFUNCTION("""COMPUTED_VALUE"""),8.0)</f>
        <v>8</v>
      </c>
      <c r="K15" s="3">
        <f>IFERROR(__xludf.DUMMYFUNCTION("""COMPUTED_VALUE"""),8.0)</f>
        <v>8</v>
      </c>
      <c r="L15" s="3">
        <f>IFERROR(__xludf.DUMMYFUNCTION("""COMPUTED_VALUE"""),8.0)</f>
        <v>8</v>
      </c>
      <c r="M15" s="3">
        <f>IFERROR(__xludf.DUMMYFUNCTION("""COMPUTED_VALUE"""),8.0)</f>
        <v>8</v>
      </c>
      <c r="N15" s="3">
        <f>IFERROR(__xludf.DUMMYFUNCTION("""COMPUTED_VALUE"""),8.0)</f>
        <v>8</v>
      </c>
      <c r="O15" s="3">
        <f>IFERROR(__xludf.DUMMYFUNCTION("""COMPUTED_VALUE"""),8.0)</f>
        <v>8</v>
      </c>
      <c r="P15" s="3">
        <f>IFERROR(__xludf.DUMMYFUNCTION("""COMPUTED_VALUE"""),6.0)</f>
        <v>6</v>
      </c>
      <c r="Q15" s="3">
        <f>IFERROR(__xludf.DUMMYFUNCTION("""COMPUTED_VALUE"""),0.0)</f>
        <v>0</v>
      </c>
      <c r="R15" s="3"/>
      <c r="S15" s="3"/>
      <c r="T15" s="3"/>
      <c r="U15" s="3">
        <f>IFERROR(__xludf.DUMMYFUNCTION("""COMPUTED_VALUE"""),0.0)</f>
        <v>0</v>
      </c>
      <c r="V15" s="3"/>
      <c r="W15" s="3">
        <f>IFERROR(__xludf.DUMMYFUNCTION("""COMPUTED_VALUE"""),0.0)</f>
        <v>0</v>
      </c>
      <c r="X15" s="3"/>
      <c r="Y15" s="3">
        <f>IFERROR(__xludf.DUMMYFUNCTION("""COMPUTED_VALUE"""),0.0)</f>
        <v>0</v>
      </c>
      <c r="Z15" s="3"/>
      <c r="AA15" s="3"/>
      <c r="AB15" s="3">
        <f>IFERROR(__xludf.DUMMYFUNCTION("""COMPUTED_VALUE"""),0.0)</f>
        <v>0</v>
      </c>
      <c r="AC15" s="3"/>
      <c r="AD15" s="3"/>
      <c r="AE15" s="3"/>
      <c r="AF15" s="3">
        <f>IFERROR(__xludf.DUMMYFUNCTION("""COMPUTED_VALUE"""),0.0)</f>
        <v>0</v>
      </c>
      <c r="AG15" s="3"/>
      <c r="AH15" s="3"/>
      <c r="AI15" s="3"/>
      <c r="AJ15" s="3">
        <f>IFERROR(__xludf.DUMMYFUNCTION("""COMPUTED_VALUE"""),0.0)</f>
        <v>0</v>
      </c>
      <c r="AK15" s="3"/>
      <c r="AL15" s="3"/>
      <c r="AM15" s="3">
        <f>IFERROR(__xludf.DUMMYFUNCTION("""COMPUTED_VALUE"""),0.0)</f>
        <v>0</v>
      </c>
      <c r="AN15" s="3"/>
      <c r="AO15" s="3">
        <f>IFERROR(__xludf.DUMMYFUNCTION("""COMPUTED_VALUE"""),0.0)</f>
        <v>0</v>
      </c>
      <c r="AP15" s="3"/>
      <c r="AQ15" s="3">
        <f>IFERROR(__xludf.DUMMYFUNCTION("""COMPUTED_VALUE"""),0.0)</f>
        <v>0</v>
      </c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 t="str">
        <f>IFERROR(__xludf.DUMMYFUNCTION("""COMPUTED_VALUE"""),"23101297")</f>
        <v>23101297</v>
      </c>
      <c r="B16" s="3">
        <f>IFERROR(__xludf.DUMMYFUNCTION("""COMPUTED_VALUE"""),0.0)</f>
        <v>0</v>
      </c>
      <c r="C16" s="3">
        <f>IFERROR(__xludf.DUMMYFUNCTION("""COMPUTED_VALUE"""),0.0)</f>
        <v>0</v>
      </c>
      <c r="D16" s="3">
        <f>IFERROR(__xludf.DUMMYFUNCTION("""COMPUTED_VALUE"""),0.0)</f>
        <v>0</v>
      </c>
      <c r="E16" s="3">
        <f>IFERROR(__xludf.DUMMYFUNCTION("""COMPUTED_VALUE"""),0.0)</f>
        <v>0</v>
      </c>
      <c r="F16" s="3">
        <f>IFERROR(__xludf.DUMMYFUNCTION("""COMPUTED_VALUE"""),0.0)</f>
        <v>0</v>
      </c>
      <c r="G16" s="3">
        <f>IFERROR(__xludf.DUMMYFUNCTION("""COMPUTED_VALUE"""),0.0)</f>
        <v>0</v>
      </c>
      <c r="H16" s="3">
        <f>IFERROR(__xludf.DUMMYFUNCTION("""COMPUTED_VALUE"""),0.0)</f>
        <v>0</v>
      </c>
      <c r="I16" s="3">
        <f>IFERROR(__xludf.DUMMYFUNCTION("""COMPUTED_VALUE"""),0.0)</f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 t="str">
        <f>IFERROR(__xludf.DUMMYFUNCTION("""COMPUTED_VALUE"""),"23101393")</f>
        <v>23101393</v>
      </c>
      <c r="B17" s="3">
        <f>IFERROR(__xludf.DUMMYFUNCTION("""COMPUTED_VALUE"""),3.735849056603774)</f>
        <v>3.735849057</v>
      </c>
      <c r="C17" s="3">
        <f>IFERROR(__xludf.DUMMYFUNCTION("""COMPUTED_VALUE"""),1.0000000000000002)</f>
        <v>1</v>
      </c>
      <c r="D17" s="3">
        <f>IFERROR(__xludf.DUMMYFUNCTION("""COMPUTED_VALUE"""),2.7358490566037736)</f>
        <v>2.735849057</v>
      </c>
      <c r="E17" s="3">
        <f>IFERROR(__xludf.DUMMYFUNCTION("""COMPUTED_VALUE"""),0.0)</f>
        <v>0</v>
      </c>
      <c r="F17" s="3">
        <f>IFERROR(__xludf.DUMMYFUNCTION("""COMPUTED_VALUE"""),0.0)</f>
        <v>0</v>
      </c>
      <c r="G17" s="3">
        <f>IFERROR(__xludf.DUMMYFUNCTION("""COMPUTED_VALUE"""),0.0)</f>
        <v>0</v>
      </c>
      <c r="H17" s="3">
        <f>IFERROR(__xludf.DUMMYFUNCTION("""COMPUTED_VALUE"""),0.0)</f>
        <v>0</v>
      </c>
      <c r="I17" s="3">
        <f>IFERROR(__xludf.DUMMYFUNCTION("""COMPUTED_VALUE"""),3.0000000000000004)</f>
        <v>3</v>
      </c>
      <c r="J17" s="3">
        <f>IFERROR(__xludf.DUMMYFUNCTION("""COMPUTED_VALUE"""),7.0)</f>
        <v>7</v>
      </c>
      <c r="K17" s="3">
        <f>IFERROR(__xludf.DUMMYFUNCTION("""COMPUTED_VALUE"""),8.0)</f>
        <v>8</v>
      </c>
      <c r="L17" s="3">
        <f>IFERROR(__xludf.DUMMYFUNCTION("""COMPUTED_VALUE"""),6.0)</f>
        <v>6</v>
      </c>
      <c r="M17" s="3">
        <f>IFERROR(__xludf.DUMMYFUNCTION("""COMPUTED_VALUE"""),8.0)</f>
        <v>8</v>
      </c>
      <c r="N17" s="3">
        <f>IFERROR(__xludf.DUMMYFUNCTION("""COMPUTED_VALUE"""),0.0)</f>
        <v>0</v>
      </c>
      <c r="O17" s="3">
        <f>IFERROR(__xludf.DUMMYFUNCTION("""COMPUTED_VALUE"""),0.0)</f>
        <v>0</v>
      </c>
      <c r="P17" s="3">
        <f>IFERROR(__xludf.DUMMYFUNCTION("""COMPUTED_VALUE"""),0.0)</f>
        <v>0</v>
      </c>
      <c r="Q17" s="3">
        <f>IFERROR(__xludf.DUMMYFUNCTION("""COMPUTED_VALUE"""),0.0)</f>
        <v>0</v>
      </c>
      <c r="R17" s="3"/>
      <c r="S17" s="3"/>
      <c r="T17" s="3"/>
      <c r="U17" s="3">
        <f>IFERROR(__xludf.DUMMYFUNCTION("""COMPUTED_VALUE"""),0.0)</f>
        <v>0</v>
      </c>
      <c r="V17" s="3"/>
      <c r="W17" s="3">
        <f>IFERROR(__xludf.DUMMYFUNCTION("""COMPUTED_VALUE"""),0.0)</f>
        <v>0</v>
      </c>
      <c r="X17" s="3"/>
      <c r="Y17" s="3">
        <f>IFERROR(__xludf.DUMMYFUNCTION("""COMPUTED_VALUE"""),0.0)</f>
        <v>0</v>
      </c>
      <c r="Z17" s="3"/>
      <c r="AA17" s="3"/>
      <c r="AB17" s="3">
        <f>IFERROR(__xludf.DUMMYFUNCTION("""COMPUTED_VALUE"""),0.0)</f>
        <v>0</v>
      </c>
      <c r="AC17" s="3"/>
      <c r="AD17" s="3"/>
      <c r="AE17" s="3"/>
      <c r="AF17" s="3">
        <f>IFERROR(__xludf.DUMMYFUNCTION("""COMPUTED_VALUE"""),0.0)</f>
        <v>0</v>
      </c>
      <c r="AG17" s="3"/>
      <c r="AH17" s="3"/>
      <c r="AI17" s="3"/>
      <c r="AJ17" s="3">
        <f>IFERROR(__xludf.DUMMYFUNCTION("""COMPUTED_VALUE"""),0.0)</f>
        <v>0</v>
      </c>
      <c r="AK17" s="3"/>
      <c r="AL17" s="3"/>
      <c r="AM17" s="3">
        <f>IFERROR(__xludf.DUMMYFUNCTION("""COMPUTED_VALUE"""),0.0)</f>
        <v>0</v>
      </c>
      <c r="AN17" s="3"/>
      <c r="AO17" s="3">
        <f>IFERROR(__xludf.DUMMYFUNCTION("""COMPUTED_VALUE"""),0.1)</f>
        <v>0.1</v>
      </c>
      <c r="AP17" s="3"/>
      <c r="AQ17" s="3">
        <f>IFERROR(__xludf.DUMMYFUNCTION("""COMPUTED_VALUE"""),0.2)</f>
        <v>0.2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 t="str">
        <f>IFERROR(__xludf.DUMMYFUNCTION("""COMPUTED_VALUE"""),"23101520")</f>
        <v>23101520</v>
      </c>
      <c r="B18" s="3">
        <f>IFERROR(__xludf.DUMMYFUNCTION("""COMPUTED_VALUE"""),6.0)</f>
        <v>6</v>
      </c>
      <c r="C18" s="3">
        <f>IFERROR(__xludf.DUMMYFUNCTION("""COMPUTED_VALUE"""),1.0)</f>
        <v>1</v>
      </c>
      <c r="D18" s="3">
        <f>IFERROR(__xludf.DUMMYFUNCTION("""COMPUTED_VALUE"""),5.0)</f>
        <v>5</v>
      </c>
      <c r="E18" s="3">
        <f>IFERROR(__xludf.DUMMYFUNCTION("""COMPUTED_VALUE"""),0.0)</f>
        <v>0</v>
      </c>
      <c r="F18" s="3">
        <f>IFERROR(__xludf.DUMMYFUNCTION("""COMPUTED_VALUE"""),3.0)</f>
        <v>3</v>
      </c>
      <c r="G18" s="3">
        <f>IFERROR(__xludf.DUMMYFUNCTION("""COMPUTED_VALUE"""),0.0)</f>
        <v>0</v>
      </c>
      <c r="H18" s="3">
        <f>IFERROR(__xludf.DUMMYFUNCTION("""COMPUTED_VALUE"""),0.0)</f>
        <v>0</v>
      </c>
      <c r="I18" s="3">
        <f>IFERROR(__xludf.DUMMYFUNCTION("""COMPUTED_VALUE"""),0.0)</f>
        <v>0</v>
      </c>
      <c r="J18" s="3">
        <f>IFERROR(__xludf.DUMMYFUNCTION("""COMPUTED_VALUE"""),8.0)</f>
        <v>8</v>
      </c>
      <c r="K18" s="3">
        <f>IFERROR(__xludf.DUMMYFUNCTION("""COMPUTED_VALUE"""),8.0)</f>
        <v>8</v>
      </c>
      <c r="L18" s="3">
        <f>IFERROR(__xludf.DUMMYFUNCTION("""COMPUTED_VALUE"""),8.0)</f>
        <v>8</v>
      </c>
      <c r="M18" s="3">
        <f>IFERROR(__xludf.DUMMYFUNCTION("""COMPUTED_VALUE"""),8.0)</f>
        <v>8</v>
      </c>
      <c r="N18" s="3">
        <f>IFERROR(__xludf.DUMMYFUNCTION("""COMPUTED_VALUE"""),8.0)</f>
        <v>8</v>
      </c>
      <c r="O18" s="3">
        <f>IFERROR(__xludf.DUMMYFUNCTION("""COMPUTED_VALUE"""),8.0)</f>
        <v>8</v>
      </c>
      <c r="P18" s="3">
        <f>IFERROR(__xludf.DUMMYFUNCTION("""COMPUTED_VALUE"""),6.0)</f>
        <v>6</v>
      </c>
      <c r="Q18" s="3">
        <f>IFERROR(__xludf.DUMMYFUNCTION("""COMPUTED_VALUE"""),0.0)</f>
        <v>0</v>
      </c>
      <c r="R18" s="3"/>
      <c r="S18" s="3"/>
      <c r="T18" s="3"/>
      <c r="U18" s="3">
        <f>IFERROR(__xludf.DUMMYFUNCTION("""COMPUTED_VALUE"""),0.0)</f>
        <v>0</v>
      </c>
      <c r="V18" s="3"/>
      <c r="W18" s="3">
        <f>IFERROR(__xludf.DUMMYFUNCTION("""COMPUTED_VALUE"""),0.0)</f>
        <v>0</v>
      </c>
      <c r="X18" s="3"/>
      <c r="Y18" s="3">
        <f>IFERROR(__xludf.DUMMYFUNCTION("""COMPUTED_VALUE"""),0.3)</f>
        <v>0.3</v>
      </c>
      <c r="Z18" s="3"/>
      <c r="AA18" s="3"/>
      <c r="AB18" s="3">
        <f>IFERROR(__xludf.DUMMYFUNCTION("""COMPUTED_VALUE"""),0.0)</f>
        <v>0</v>
      </c>
      <c r="AC18" s="3"/>
      <c r="AD18" s="3"/>
      <c r="AE18" s="3"/>
      <c r="AF18" s="3">
        <f>IFERROR(__xludf.DUMMYFUNCTION("""COMPUTED_VALUE"""),0.0)</f>
        <v>0</v>
      </c>
      <c r="AG18" s="3"/>
      <c r="AH18" s="3"/>
      <c r="AI18" s="3"/>
      <c r="AJ18" s="3">
        <f>IFERROR(__xludf.DUMMYFUNCTION("""COMPUTED_VALUE"""),0.0)</f>
        <v>0</v>
      </c>
      <c r="AK18" s="3"/>
      <c r="AL18" s="3"/>
      <c r="AM18" s="3">
        <f>IFERROR(__xludf.DUMMYFUNCTION("""COMPUTED_VALUE"""),0.0)</f>
        <v>0</v>
      </c>
      <c r="AN18" s="3"/>
      <c r="AO18" s="3">
        <f>IFERROR(__xludf.DUMMYFUNCTION("""COMPUTED_VALUE"""),0.0)</f>
        <v>0</v>
      </c>
      <c r="AP18" s="3"/>
      <c r="AQ18" s="3">
        <f>IFERROR(__xludf.DUMMYFUNCTION("""COMPUTED_VALUE"""),0.0)</f>
        <v>0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 t="str">
        <f>IFERROR(__xludf.DUMMYFUNCTION("""COMPUTED_VALUE"""),"23301258")</f>
        <v>23301258</v>
      </c>
      <c r="B19" s="3">
        <f>IFERROR(__xludf.DUMMYFUNCTION("""COMPUTED_VALUE"""),5.0)</f>
        <v>5</v>
      </c>
      <c r="C19" s="3">
        <f>IFERROR(__xludf.DUMMYFUNCTION("""COMPUTED_VALUE"""),0.0)</f>
        <v>0</v>
      </c>
      <c r="D19" s="3">
        <f>IFERROR(__xludf.DUMMYFUNCTION("""COMPUTED_VALUE"""),5.0)</f>
        <v>5</v>
      </c>
      <c r="E19" s="3">
        <f>IFERROR(__xludf.DUMMYFUNCTION("""COMPUTED_VALUE"""),0.0)</f>
        <v>0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IFERROR(__xludf.DUMMYFUNCTION("""COMPUTED_VALUE"""),0.0)</f>
        <v>0</v>
      </c>
      <c r="I19" s="3">
        <f>IFERROR(__xludf.DUMMYFUNCTION("""COMPUTED_VALUE"""),0.0)</f>
        <v>0</v>
      </c>
      <c r="J19" s="3">
        <f>IFERROR(__xludf.DUMMYFUNCTION("""COMPUTED_VALUE"""),8.0)</f>
        <v>8</v>
      </c>
      <c r="K19" s="3">
        <f>IFERROR(__xludf.DUMMYFUNCTION("""COMPUTED_VALUE"""),8.0)</f>
        <v>8</v>
      </c>
      <c r="L19" s="3">
        <f>IFERROR(__xludf.DUMMYFUNCTION("""COMPUTED_VALUE"""),8.0)</f>
        <v>8</v>
      </c>
      <c r="M19" s="3">
        <f>IFERROR(__xludf.DUMMYFUNCTION("""COMPUTED_VALUE"""),8.0)</f>
        <v>8</v>
      </c>
      <c r="N19" s="3">
        <f>IFERROR(__xludf.DUMMYFUNCTION("""COMPUTED_VALUE"""),8.0)</f>
        <v>8</v>
      </c>
      <c r="O19" s="3">
        <f>IFERROR(__xludf.DUMMYFUNCTION("""COMPUTED_VALUE"""),8.0)</f>
        <v>8</v>
      </c>
      <c r="P19" s="3">
        <f>IFERROR(__xludf.DUMMYFUNCTION("""COMPUTED_VALUE"""),6.0)</f>
        <v>6</v>
      </c>
      <c r="Q19" s="3">
        <f>IFERROR(__xludf.DUMMYFUNCTION("""COMPUTED_VALUE"""),0.0)</f>
        <v>0</v>
      </c>
      <c r="R19" s="3"/>
      <c r="S19" s="3"/>
      <c r="T19" s="3"/>
      <c r="U19" s="3">
        <f>IFERROR(__xludf.DUMMYFUNCTION("""COMPUTED_VALUE"""),0.0)</f>
        <v>0</v>
      </c>
      <c r="V19" s="3"/>
      <c r="W19" s="3">
        <f>IFERROR(__xludf.DUMMYFUNCTION("""COMPUTED_VALUE"""),0.0)</f>
        <v>0</v>
      </c>
      <c r="X19" s="3"/>
      <c r="Y19" s="3">
        <f>IFERROR(__xludf.DUMMYFUNCTION("""COMPUTED_VALUE"""),0.0)</f>
        <v>0</v>
      </c>
      <c r="Z19" s="3"/>
      <c r="AA19" s="3"/>
      <c r="AB19" s="3">
        <f>IFERROR(__xludf.DUMMYFUNCTION("""COMPUTED_VALUE"""),0.0)</f>
        <v>0</v>
      </c>
      <c r="AC19" s="3"/>
      <c r="AD19" s="3"/>
      <c r="AE19" s="3"/>
      <c r="AF19" s="3">
        <f>IFERROR(__xludf.DUMMYFUNCTION("""COMPUTED_VALUE"""),0.0)</f>
        <v>0</v>
      </c>
      <c r="AG19" s="3"/>
      <c r="AH19" s="3"/>
      <c r="AI19" s="3"/>
      <c r="AJ19" s="3"/>
      <c r="AK19" s="3"/>
      <c r="AL19" s="3"/>
      <c r="AM19" s="3"/>
      <c r="AN19" s="3"/>
      <c r="AO19" s="3">
        <f>IFERROR(__xludf.DUMMYFUNCTION("""COMPUTED_VALUE"""),0.0)</f>
        <v>0</v>
      </c>
      <c r="AP19" s="3"/>
      <c r="AQ19" s="3">
        <f>IFERROR(__xludf.DUMMYFUNCTION("""COMPUTED_VALUE"""),0.0)</f>
        <v>0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 t="str">
        <f>IFERROR(__xludf.DUMMYFUNCTION("""COMPUTED_VALUE"""),"23301343")</f>
        <v>23301343</v>
      </c>
      <c r="B20" s="3">
        <f>IFERROR(__xludf.DUMMYFUNCTION("""COMPUTED_VALUE"""),4.339622641509434)</f>
        <v>4.339622642</v>
      </c>
      <c r="C20" s="3">
        <f>IFERROR(__xludf.DUMMYFUNCTION("""COMPUTED_VALUE"""),0.0)</f>
        <v>0</v>
      </c>
      <c r="D20" s="3">
        <f>IFERROR(__xludf.DUMMYFUNCTION("""COMPUTED_VALUE"""),4.339622641509434)</f>
        <v>4.339622642</v>
      </c>
      <c r="E20" s="3">
        <f>IFERROR(__xludf.DUMMYFUNCTION("""COMPUTED_VALUE"""),0.0)</f>
        <v>0</v>
      </c>
      <c r="F20" s="3">
        <f>IFERROR(__xludf.DUMMYFUNCTION("""COMPUTED_VALUE"""),0.0)</f>
        <v>0</v>
      </c>
      <c r="G20" s="3">
        <f>IFERROR(__xludf.DUMMYFUNCTION("""COMPUTED_VALUE"""),0.0)</f>
        <v>0</v>
      </c>
      <c r="H20" s="3">
        <f>IFERROR(__xludf.DUMMYFUNCTION("""COMPUTED_VALUE"""),0.0)</f>
        <v>0</v>
      </c>
      <c r="I20" s="3">
        <f>IFERROR(__xludf.DUMMYFUNCTION("""COMPUTED_VALUE"""),0.0)</f>
        <v>0</v>
      </c>
      <c r="J20" s="3">
        <f>IFERROR(__xludf.DUMMYFUNCTION("""COMPUTED_VALUE"""),0.0)</f>
        <v>0</v>
      </c>
      <c r="K20" s="3">
        <f>IFERROR(__xludf.DUMMYFUNCTION("""COMPUTED_VALUE"""),8.0)</f>
        <v>8</v>
      </c>
      <c r="L20" s="3">
        <f>IFERROR(__xludf.DUMMYFUNCTION("""COMPUTED_VALUE"""),8.0)</f>
        <v>8</v>
      </c>
      <c r="M20" s="3">
        <f>IFERROR(__xludf.DUMMYFUNCTION("""COMPUTED_VALUE"""),8.0)</f>
        <v>8</v>
      </c>
      <c r="N20" s="3">
        <f>IFERROR(__xludf.DUMMYFUNCTION("""COMPUTED_VALUE"""),8.0)</f>
        <v>8</v>
      </c>
      <c r="O20" s="3">
        <f>IFERROR(__xludf.DUMMYFUNCTION("""COMPUTED_VALUE"""),8.0)</f>
        <v>8</v>
      </c>
      <c r="P20" s="3">
        <f>IFERROR(__xludf.DUMMYFUNCTION("""COMPUTED_VALUE"""),6.0)</f>
        <v>6</v>
      </c>
      <c r="Q20" s="3">
        <f>IFERROR(__xludf.DUMMYFUNCTION("""COMPUTED_VALUE"""),0.0)</f>
        <v>0</v>
      </c>
      <c r="R20" s="3"/>
      <c r="S20" s="3"/>
      <c r="T20" s="3"/>
      <c r="U20" s="3">
        <f>IFERROR(__xludf.DUMMYFUNCTION("""COMPUTED_VALUE"""),0.0)</f>
        <v>0</v>
      </c>
      <c r="V20" s="3"/>
      <c r="W20" s="3">
        <f>IFERROR(__xludf.DUMMYFUNCTION("""COMPUTED_VALUE"""),0.0)</f>
        <v>0</v>
      </c>
      <c r="X20" s="3"/>
      <c r="Y20" s="3">
        <f>IFERROR(__xludf.DUMMYFUNCTION("""COMPUTED_VALUE"""),0.0)</f>
        <v>0</v>
      </c>
      <c r="Z20" s="3"/>
      <c r="AA20" s="3"/>
      <c r="AB20" s="3">
        <f>IFERROR(__xludf.DUMMYFUNCTION("""COMPUTED_VALUE"""),0.0)</f>
        <v>0</v>
      </c>
      <c r="AC20" s="3"/>
      <c r="AD20" s="3"/>
      <c r="AE20" s="3"/>
      <c r="AF20" s="3">
        <f>IFERROR(__xludf.DUMMYFUNCTION("""COMPUTED_VALUE"""),0.0)</f>
        <v>0</v>
      </c>
      <c r="AG20" s="3"/>
      <c r="AH20" s="3"/>
      <c r="AI20" s="3"/>
      <c r="AJ20" s="3">
        <f>IFERROR(__xludf.DUMMYFUNCTION("""COMPUTED_VALUE"""),0.0)</f>
        <v>0</v>
      </c>
      <c r="AK20" s="3"/>
      <c r="AL20" s="3"/>
      <c r="AM20" s="3">
        <f>IFERROR(__xludf.DUMMYFUNCTION("""COMPUTED_VALUE"""),0.0)</f>
        <v>0</v>
      </c>
      <c r="AN20" s="3"/>
      <c r="AO20" s="3">
        <f>IFERROR(__xludf.DUMMYFUNCTION("""COMPUTED_VALUE"""),0.0)</f>
        <v>0</v>
      </c>
      <c r="AP20" s="3"/>
      <c r="AQ20" s="3">
        <f>IFERROR(__xludf.DUMMYFUNCTION("""COMPUTED_VALUE"""),0.0)</f>
        <v>0</v>
      </c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 t="str">
        <f>IFERROR(__xludf.DUMMYFUNCTION("""COMPUTED_VALUE"""),"23301369")</f>
        <v>23301369</v>
      </c>
      <c r="B21" s="3">
        <f>IFERROR(__xludf.DUMMYFUNCTION("""COMPUTED_VALUE"""),0.0)</f>
        <v>0</v>
      </c>
      <c r="C21" s="3">
        <f>IFERROR(__xludf.DUMMYFUNCTION("""COMPUTED_VALUE"""),0.0)</f>
        <v>0</v>
      </c>
      <c r="D21" s="3">
        <f>IFERROR(__xludf.DUMMYFUNCTION("""COMPUTED_VALUE"""),0.0)</f>
        <v>0</v>
      </c>
      <c r="E21" s="3">
        <f>IFERROR(__xludf.DUMMYFUNCTION("""COMPUTED_VALUE"""),0.0)</f>
        <v>0</v>
      </c>
      <c r="F21" s="3">
        <f>IFERROR(__xludf.DUMMYFUNCTION("""COMPUTED_VALUE"""),0.0)</f>
        <v>0</v>
      </c>
      <c r="G21" s="3">
        <f>IFERROR(__xludf.DUMMYFUNCTION("""COMPUTED_VALUE"""),0.0)</f>
        <v>0</v>
      </c>
      <c r="H21" s="3">
        <f>IFERROR(__xludf.DUMMYFUNCTION("""COMPUTED_VALUE"""),0.0)</f>
        <v>0</v>
      </c>
      <c r="I21" s="3">
        <f>IFERROR(__xludf.DUMMYFUNCTION("""COMPUTED_VALUE"""),0.0)</f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f>IFERROR(__xludf.DUMMYFUNCTION("""COMPUTED_VALUE"""),0.0)</f>
        <v>0</v>
      </c>
      <c r="Z21" s="3"/>
      <c r="AA21" s="3"/>
      <c r="AB21" s="3">
        <f>IFERROR(__xludf.DUMMYFUNCTION("""COMPUTED_VALUE"""),0.0)</f>
        <v>0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 t="str">
        <f>IFERROR(__xludf.DUMMYFUNCTION("""COMPUTED_VALUE"""),"23301375")</f>
        <v>23301375</v>
      </c>
      <c r="B22" s="3">
        <f>IFERROR(__xludf.DUMMYFUNCTION("""COMPUTED_VALUE"""),6.050314465408805)</f>
        <v>6.050314465</v>
      </c>
      <c r="C22" s="3">
        <f>IFERROR(__xludf.DUMMYFUNCTION("""COMPUTED_VALUE"""),1.3333333333333333)</f>
        <v>1.333333333</v>
      </c>
      <c r="D22" s="3">
        <f>IFERROR(__xludf.DUMMYFUNCTION("""COMPUTED_VALUE"""),4.716981132075472)</f>
        <v>4.716981132</v>
      </c>
      <c r="E22" s="3">
        <f>IFERROR(__xludf.DUMMYFUNCTION("""COMPUTED_VALUE"""),0.0)</f>
        <v>0</v>
      </c>
      <c r="F22" s="3">
        <f>IFERROR(__xludf.DUMMYFUNCTION("""COMPUTED_VALUE"""),0.0)</f>
        <v>0</v>
      </c>
      <c r="G22" s="3">
        <f>IFERROR(__xludf.DUMMYFUNCTION("""COMPUTED_VALUE"""),0.0)</f>
        <v>0</v>
      </c>
      <c r="H22" s="3">
        <f>IFERROR(__xludf.DUMMYFUNCTION("""COMPUTED_VALUE"""),2.0)</f>
        <v>2</v>
      </c>
      <c r="I22" s="3">
        <f>IFERROR(__xludf.DUMMYFUNCTION("""COMPUTED_VALUE"""),2.0)</f>
        <v>2</v>
      </c>
      <c r="J22" s="3">
        <f>IFERROR(__xludf.DUMMYFUNCTION("""COMPUTED_VALUE"""),8.0)</f>
        <v>8</v>
      </c>
      <c r="K22" s="3">
        <f>IFERROR(__xludf.DUMMYFUNCTION("""COMPUTED_VALUE"""),8.0)</f>
        <v>8</v>
      </c>
      <c r="L22" s="3">
        <f>IFERROR(__xludf.DUMMYFUNCTION("""COMPUTED_VALUE"""),2.0)</f>
        <v>2</v>
      </c>
      <c r="M22" s="3">
        <f>IFERROR(__xludf.DUMMYFUNCTION("""COMPUTED_VALUE"""),8.0)</f>
        <v>8</v>
      </c>
      <c r="N22" s="3">
        <f>IFERROR(__xludf.DUMMYFUNCTION("""COMPUTED_VALUE"""),8.0)</f>
        <v>8</v>
      </c>
      <c r="O22" s="3">
        <f>IFERROR(__xludf.DUMMYFUNCTION("""COMPUTED_VALUE"""),8.0)</f>
        <v>8</v>
      </c>
      <c r="P22" s="3">
        <f>IFERROR(__xludf.DUMMYFUNCTION("""COMPUTED_VALUE"""),6.0)</f>
        <v>6</v>
      </c>
      <c r="Q22" s="3">
        <f>IFERROR(__xludf.DUMMYFUNCTION("""COMPUTED_VALUE"""),2.0)</f>
        <v>2</v>
      </c>
      <c r="R22" s="3"/>
      <c r="S22" s="3"/>
      <c r="T22" s="3"/>
      <c r="U22" s="3">
        <f>IFERROR(__xludf.DUMMYFUNCTION("""COMPUTED_VALUE"""),0.0)</f>
        <v>0</v>
      </c>
      <c r="V22" s="3"/>
      <c r="W22" s="3">
        <f>IFERROR(__xludf.DUMMYFUNCTION("""COMPUTED_VALUE"""),0.0)</f>
        <v>0</v>
      </c>
      <c r="X22" s="3"/>
      <c r="Y22" s="3">
        <f>IFERROR(__xludf.DUMMYFUNCTION("""COMPUTED_VALUE"""),0.0)</f>
        <v>0</v>
      </c>
      <c r="Z22" s="3"/>
      <c r="AA22" s="3"/>
      <c r="AB22" s="3">
        <f>IFERROR(__xludf.DUMMYFUNCTION("""COMPUTED_VALUE"""),0.0)</f>
        <v>0</v>
      </c>
      <c r="AC22" s="3"/>
      <c r="AD22" s="3"/>
      <c r="AE22" s="3"/>
      <c r="AF22" s="3">
        <f>IFERROR(__xludf.DUMMYFUNCTION("""COMPUTED_VALUE"""),0.0)</f>
        <v>0</v>
      </c>
      <c r="AG22" s="3"/>
      <c r="AH22" s="3"/>
      <c r="AI22" s="3"/>
      <c r="AJ22" s="3">
        <f>IFERROR(__xludf.DUMMYFUNCTION("""COMPUTED_VALUE"""),0.1)</f>
        <v>0.1</v>
      </c>
      <c r="AK22" s="3"/>
      <c r="AL22" s="3"/>
      <c r="AM22" s="3">
        <f>IFERROR(__xludf.DUMMYFUNCTION("""COMPUTED_VALUE"""),0.1)</f>
        <v>0.1</v>
      </c>
      <c r="AN22" s="3"/>
      <c r="AO22" s="3">
        <f>IFERROR(__xludf.DUMMYFUNCTION("""COMPUTED_VALUE"""),0.1)</f>
        <v>0.1</v>
      </c>
      <c r="AP22" s="3"/>
      <c r="AQ22" s="3">
        <f>IFERROR(__xludf.DUMMYFUNCTION("""COMPUTED_VALUE"""),0.1)</f>
        <v>0.1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 t="str">
        <f>IFERROR(__xludf.DUMMYFUNCTION("""COMPUTED_VALUE"""),"23301603")</f>
        <v>23301603</v>
      </c>
      <c r="B23" s="3">
        <f>IFERROR(__xludf.DUMMYFUNCTION("""COMPUTED_VALUE"""),8.056603773584905)</f>
        <v>8.056603774</v>
      </c>
      <c r="C23" s="3">
        <f>IFERROR(__xludf.DUMMYFUNCTION("""COMPUTED_VALUE"""),4.0)</f>
        <v>4</v>
      </c>
      <c r="D23" s="3">
        <f>IFERROR(__xludf.DUMMYFUNCTION("""COMPUTED_VALUE"""),4.056603773584905)</f>
        <v>4.056603774</v>
      </c>
      <c r="E23" s="3">
        <f>IFERROR(__xludf.DUMMYFUNCTION("""COMPUTED_VALUE"""),4.0)</f>
        <v>4</v>
      </c>
      <c r="F23" s="3">
        <f>IFERROR(__xludf.DUMMYFUNCTION("""COMPUTED_VALUE"""),2.0)</f>
        <v>2</v>
      </c>
      <c r="G23" s="3">
        <f>IFERROR(__xludf.DUMMYFUNCTION("""COMPUTED_VALUE"""),4.0)</f>
        <v>4</v>
      </c>
      <c r="H23" s="3">
        <f>IFERROR(__xludf.DUMMYFUNCTION("""COMPUTED_VALUE"""),4.0)</f>
        <v>4</v>
      </c>
      <c r="I23" s="3">
        <f>IFERROR(__xludf.DUMMYFUNCTION("""COMPUTED_VALUE"""),4.0)</f>
        <v>4</v>
      </c>
      <c r="J23" s="3">
        <f>IFERROR(__xludf.DUMMYFUNCTION("""COMPUTED_VALUE"""),5.0)</f>
        <v>5</v>
      </c>
      <c r="K23" s="3">
        <f>IFERROR(__xludf.DUMMYFUNCTION("""COMPUTED_VALUE"""),5.0)</f>
        <v>5</v>
      </c>
      <c r="L23" s="3">
        <f>IFERROR(__xludf.DUMMYFUNCTION("""COMPUTED_VALUE"""),7.0)</f>
        <v>7</v>
      </c>
      <c r="M23" s="3">
        <f>IFERROR(__xludf.DUMMYFUNCTION("""COMPUTED_VALUE"""),7.0)</f>
        <v>7</v>
      </c>
      <c r="N23" s="3">
        <f>IFERROR(__xludf.DUMMYFUNCTION("""COMPUTED_VALUE"""),7.0)</f>
        <v>7</v>
      </c>
      <c r="O23" s="3">
        <f>IFERROR(__xludf.DUMMYFUNCTION("""COMPUTED_VALUE"""),6.0)</f>
        <v>6</v>
      </c>
      <c r="P23" s="3">
        <f>IFERROR(__xludf.DUMMYFUNCTION("""COMPUTED_VALUE"""),6.0)</f>
        <v>6</v>
      </c>
      <c r="Q23" s="3">
        <f>IFERROR(__xludf.DUMMYFUNCTION("""COMPUTED_VALUE"""),0.0)</f>
        <v>0</v>
      </c>
      <c r="R23" s="3"/>
      <c r="S23" s="3"/>
      <c r="T23" s="3"/>
      <c r="U23" s="3">
        <f>IFERROR(__xludf.DUMMYFUNCTION("""COMPUTED_VALUE"""),0.2)</f>
        <v>0.2</v>
      </c>
      <c r="V23" s="3"/>
      <c r="W23" s="3">
        <f>IFERROR(__xludf.DUMMYFUNCTION("""COMPUTED_VALUE"""),0.2)</f>
        <v>0.2</v>
      </c>
      <c r="X23" s="3"/>
      <c r="Y23" s="3">
        <f>IFERROR(__xludf.DUMMYFUNCTION("""COMPUTED_VALUE"""),0.2)</f>
        <v>0.2</v>
      </c>
      <c r="Z23" s="3"/>
      <c r="AA23" s="3"/>
      <c r="AB23" s="3">
        <f>IFERROR(__xludf.DUMMYFUNCTION("""COMPUTED_VALUE"""),0.0)</f>
        <v>0</v>
      </c>
      <c r="AC23" s="3"/>
      <c r="AD23" s="3"/>
      <c r="AE23" s="3"/>
      <c r="AF23" s="3">
        <f>IFERROR(__xludf.DUMMYFUNCTION("""COMPUTED_VALUE"""),0.2)</f>
        <v>0.2</v>
      </c>
      <c r="AG23" s="3"/>
      <c r="AH23" s="3"/>
      <c r="AI23" s="3"/>
      <c r="AJ23" s="3">
        <f>IFERROR(__xludf.DUMMYFUNCTION("""COMPUTED_VALUE"""),0.2)</f>
        <v>0.2</v>
      </c>
      <c r="AK23" s="3"/>
      <c r="AL23" s="3"/>
      <c r="AM23" s="3">
        <f>IFERROR(__xludf.DUMMYFUNCTION("""COMPUTED_VALUE"""),0.2)</f>
        <v>0.2</v>
      </c>
      <c r="AN23" s="3"/>
      <c r="AO23" s="3">
        <f>IFERROR(__xludf.DUMMYFUNCTION("""COMPUTED_VALUE"""),0.2)</f>
        <v>0.2</v>
      </c>
      <c r="AP23" s="3"/>
      <c r="AQ23" s="3">
        <f>IFERROR(__xludf.DUMMYFUNCTION("""COMPUTED_VALUE"""),0.2)</f>
        <v>0.2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 t="str">
        <f>IFERROR(__xludf.DUMMYFUNCTION("""COMPUTED_VALUE"""),"23341017")</f>
        <v>23341017</v>
      </c>
      <c r="B24" s="3">
        <f>IFERROR(__xludf.DUMMYFUNCTION("""COMPUTED_VALUE"""),0.2830188679245283)</f>
        <v>0.2830188679</v>
      </c>
      <c r="C24" s="3">
        <f>IFERROR(__xludf.DUMMYFUNCTION("""COMPUTED_VALUE"""),0.0)</f>
        <v>0</v>
      </c>
      <c r="D24" s="3">
        <f>IFERROR(__xludf.DUMMYFUNCTION("""COMPUTED_VALUE"""),0.2830188679245283)</f>
        <v>0.2830188679</v>
      </c>
      <c r="E24" s="3">
        <f>IFERROR(__xludf.DUMMYFUNCTION("""COMPUTED_VALUE"""),0.0)</f>
        <v>0</v>
      </c>
      <c r="F24" s="3">
        <f>IFERROR(__xludf.DUMMYFUNCTION("""COMPUTED_VALUE"""),0.0)</f>
        <v>0</v>
      </c>
      <c r="G24" s="3">
        <f>IFERROR(__xludf.DUMMYFUNCTION("""COMPUTED_VALUE"""),0.0)</f>
        <v>0</v>
      </c>
      <c r="H24" s="3">
        <f>IFERROR(__xludf.DUMMYFUNCTION("""COMPUTED_VALUE"""),0.0)</f>
        <v>0</v>
      </c>
      <c r="I24" s="3">
        <f>IFERROR(__xludf.DUMMYFUNCTION("""COMPUTED_VALUE"""),0.0)</f>
        <v>0</v>
      </c>
      <c r="J24" s="3">
        <f>IFERROR(__xludf.DUMMYFUNCTION("""COMPUTED_VALUE"""),1.0)</f>
        <v>1</v>
      </c>
      <c r="K24" s="3">
        <f>IFERROR(__xludf.DUMMYFUNCTION("""COMPUTED_VALUE"""),1.0)</f>
        <v>1</v>
      </c>
      <c r="L24" s="3">
        <f>IFERROR(__xludf.DUMMYFUNCTION("""COMPUTED_VALUE"""),0.0)</f>
        <v>0</v>
      </c>
      <c r="M24" s="3">
        <f>IFERROR(__xludf.DUMMYFUNCTION("""COMPUTED_VALUE"""),1.0)</f>
        <v>1</v>
      </c>
      <c r="N24" s="3">
        <f>IFERROR(__xludf.DUMMYFUNCTION("""COMPUTED_VALUE"""),0.0)</f>
        <v>0</v>
      </c>
      <c r="O24" s="3">
        <f>IFERROR(__xludf.DUMMYFUNCTION("""COMPUTED_VALUE"""),0.0)</f>
        <v>0</v>
      </c>
      <c r="P24" s="3">
        <f>IFERROR(__xludf.DUMMYFUNCTION("""COMPUTED_VALUE"""),0.0)</f>
        <v>0</v>
      </c>
      <c r="Q24" s="3">
        <f>IFERROR(__xludf.DUMMYFUNCTION("""COMPUTED_VALUE"""),0.0)</f>
        <v>0</v>
      </c>
      <c r="R24" s="3"/>
      <c r="S24" s="3"/>
      <c r="T24" s="3"/>
      <c r="U24" s="3">
        <f>IFERROR(__xludf.DUMMYFUNCTION("""COMPUTED_VALUE"""),0.0)</f>
        <v>0</v>
      </c>
      <c r="V24" s="3"/>
      <c r="W24" s="3">
        <f>IFERROR(__xludf.DUMMYFUNCTION("""COMPUTED_VALUE"""),0.0)</f>
        <v>0</v>
      </c>
      <c r="X24" s="3"/>
      <c r="Y24" s="3">
        <f>IFERROR(__xludf.DUMMYFUNCTION("""COMPUTED_VALUE"""),0.0)</f>
        <v>0</v>
      </c>
      <c r="Z24" s="3"/>
      <c r="AA24" s="3"/>
      <c r="AB24" s="3">
        <f>IFERROR(__xludf.DUMMYFUNCTION("""COMPUTED_VALUE"""),0.0)</f>
        <v>0</v>
      </c>
      <c r="AC24" s="3"/>
      <c r="AD24" s="3"/>
      <c r="AE24" s="3"/>
      <c r="AF24" s="3"/>
      <c r="AG24" s="3"/>
      <c r="AH24" s="3"/>
      <c r="AI24" s="3"/>
      <c r="AJ24" s="3">
        <f>IFERROR(__xludf.DUMMYFUNCTION("""COMPUTED_VALUE"""),0.0)</f>
        <v>0</v>
      </c>
      <c r="AK24" s="3"/>
      <c r="AL24" s="3"/>
      <c r="AM24" s="3">
        <f>IFERROR(__xludf.DUMMYFUNCTION("""COMPUTED_VALUE"""),0.0)</f>
        <v>0</v>
      </c>
      <c r="AN24" s="3"/>
      <c r="AO24" s="3">
        <f>IFERROR(__xludf.DUMMYFUNCTION("""COMPUTED_VALUE"""),0.0)</f>
        <v>0</v>
      </c>
      <c r="AP24" s="3"/>
      <c r="AQ24" s="3">
        <f>IFERROR(__xludf.DUMMYFUNCTION("""COMPUTED_VALUE"""),0.0)</f>
        <v>0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 t="str">
        <f>IFERROR(__xludf.DUMMYFUNCTION("""COMPUTED_VALUE"""),"23341103")</f>
        <v>23341103</v>
      </c>
      <c r="B25" s="3">
        <f>IFERROR(__xludf.DUMMYFUNCTION("""COMPUTED_VALUE"""),0.0)</f>
        <v>0</v>
      </c>
      <c r="C25" s="3">
        <f>IFERROR(__xludf.DUMMYFUNCTION("""COMPUTED_VALUE"""),0.3333333333333333)</f>
        <v>0.3333333333</v>
      </c>
      <c r="D25" s="3">
        <f>IFERROR(__xludf.DUMMYFUNCTION("""COMPUTED_VALUE"""),5.0)</f>
        <v>5</v>
      </c>
      <c r="E25" s="3">
        <f>IFERROR(__xludf.DUMMYFUNCTION("""COMPUTED_VALUE"""),1.0)</f>
        <v>1</v>
      </c>
      <c r="F25" s="3">
        <f>IFERROR(__xludf.DUMMYFUNCTION("""COMPUTED_VALUE"""),0.0)</f>
        <v>0</v>
      </c>
      <c r="G25" s="3">
        <f>IFERROR(__xludf.DUMMYFUNCTION("""COMPUTED_VALUE"""),0.0)</f>
        <v>0</v>
      </c>
      <c r="H25" s="3">
        <f>IFERROR(__xludf.DUMMYFUNCTION("""COMPUTED_VALUE"""),0.0)</f>
        <v>0</v>
      </c>
      <c r="I25" s="3">
        <f>IFERROR(__xludf.DUMMYFUNCTION("""COMPUTED_VALUE"""),0.0)</f>
        <v>0</v>
      </c>
      <c r="J25" s="3">
        <f>IFERROR(__xludf.DUMMYFUNCTION("""COMPUTED_VALUE"""),8.0)</f>
        <v>8</v>
      </c>
      <c r="K25" s="3">
        <f>IFERROR(__xludf.DUMMYFUNCTION("""COMPUTED_VALUE"""),8.0)</f>
        <v>8</v>
      </c>
      <c r="L25" s="3">
        <f>IFERROR(__xludf.DUMMYFUNCTION("""COMPUTED_VALUE"""),8.0)</f>
        <v>8</v>
      </c>
      <c r="M25" s="3">
        <f>IFERROR(__xludf.DUMMYFUNCTION("""COMPUTED_VALUE"""),8.0)</f>
        <v>8</v>
      </c>
      <c r="N25" s="3">
        <f>IFERROR(__xludf.DUMMYFUNCTION("""COMPUTED_VALUE"""),8.0)</f>
        <v>8</v>
      </c>
      <c r="O25" s="3">
        <f>IFERROR(__xludf.DUMMYFUNCTION("""COMPUTED_VALUE"""),8.0)</f>
        <v>8</v>
      </c>
      <c r="P25" s="3">
        <f>IFERROR(__xludf.DUMMYFUNCTION("""COMPUTED_VALUE"""),6.0)</f>
        <v>6</v>
      </c>
      <c r="Q25" s="3">
        <f>IFERROR(__xludf.DUMMYFUNCTION("""COMPUTED_VALUE"""),0.0)</f>
        <v>0</v>
      </c>
      <c r="R25" s="3"/>
      <c r="S25" s="3"/>
      <c r="T25" s="3"/>
      <c r="U25" s="3">
        <f>IFERROR(__xludf.DUMMYFUNCTION("""COMPUTED_VALUE"""),0.0)</f>
        <v>0</v>
      </c>
      <c r="V25" s="3"/>
      <c r="W25" s="3">
        <f>IFERROR(__xludf.DUMMYFUNCTION("""COMPUTED_VALUE"""),0.1)</f>
        <v>0.1</v>
      </c>
      <c r="X25" s="3"/>
      <c r="Y25" s="3">
        <f>IFERROR(__xludf.DUMMYFUNCTION("""COMPUTED_VALUE"""),0.0)</f>
        <v>0</v>
      </c>
      <c r="Z25" s="3"/>
      <c r="AA25" s="3"/>
      <c r="AB25" s="3">
        <f>IFERROR(__xludf.DUMMYFUNCTION("""COMPUTED_VALUE"""),0.0)</f>
        <v>0</v>
      </c>
      <c r="AC25" s="3"/>
      <c r="AD25" s="3"/>
      <c r="AE25" s="3"/>
      <c r="AF25" s="3">
        <f>IFERROR(__xludf.DUMMYFUNCTION("""COMPUTED_VALUE"""),0.0)</f>
        <v>0</v>
      </c>
      <c r="AG25" s="3"/>
      <c r="AH25" s="3"/>
      <c r="AI25" s="3"/>
      <c r="AJ25" s="3">
        <f>IFERROR(__xludf.DUMMYFUNCTION("""COMPUTED_VALUE"""),0.0)</f>
        <v>0</v>
      </c>
      <c r="AK25" s="3"/>
      <c r="AL25" s="3"/>
      <c r="AM25" s="3">
        <f>IFERROR(__xludf.DUMMYFUNCTION("""COMPUTED_VALUE"""),0.0)</f>
        <v>0</v>
      </c>
      <c r="AN25" s="3"/>
      <c r="AO25" s="3">
        <f>IFERROR(__xludf.DUMMYFUNCTION("""COMPUTED_VALUE"""),0.0)</f>
        <v>0</v>
      </c>
      <c r="AP25" s="3"/>
      <c r="AQ25" s="3">
        <f>IFERROR(__xludf.DUMMYFUNCTION("""COMPUTED_VALUE"""),0.0)</f>
        <v>0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 t="str">
        <f>IFERROR(__xludf.DUMMYFUNCTION("""COMPUTED_VALUE"""),"24101570")</f>
        <v>24101570</v>
      </c>
      <c r="B26" s="3">
        <f>IFERROR(__xludf.DUMMYFUNCTION("""COMPUTED_VALUE"""),1.6981132075471697)</f>
        <v>1.698113208</v>
      </c>
      <c r="C26" s="3">
        <f>IFERROR(__xludf.DUMMYFUNCTION("""COMPUTED_VALUE"""),0.0)</f>
        <v>0</v>
      </c>
      <c r="D26" s="3">
        <f>IFERROR(__xludf.DUMMYFUNCTION("""COMPUTED_VALUE"""),1.6981132075471697)</f>
        <v>1.698113208</v>
      </c>
      <c r="E26" s="3">
        <f>IFERROR(__xludf.DUMMYFUNCTION("""COMPUTED_VALUE"""),0.0)</f>
        <v>0</v>
      </c>
      <c r="F26" s="3">
        <f>IFERROR(__xludf.DUMMYFUNCTION("""COMPUTED_VALUE"""),0.0)</f>
        <v>0</v>
      </c>
      <c r="G26" s="3">
        <f>IFERROR(__xludf.DUMMYFUNCTION("""COMPUTED_VALUE"""),0.0)</f>
        <v>0</v>
      </c>
      <c r="H26" s="3">
        <f>IFERROR(__xludf.DUMMYFUNCTION("""COMPUTED_VALUE"""),0.0)</f>
        <v>0</v>
      </c>
      <c r="I26" s="3">
        <f>IFERROR(__xludf.DUMMYFUNCTION("""COMPUTED_VALUE"""),0.0)</f>
        <v>0</v>
      </c>
      <c r="J26" s="3">
        <f>IFERROR(__xludf.DUMMYFUNCTION("""COMPUTED_VALUE"""),0.0)</f>
        <v>0</v>
      </c>
      <c r="K26" s="3">
        <f>IFERROR(__xludf.DUMMYFUNCTION("""COMPUTED_VALUE"""),7.0)</f>
        <v>7</v>
      </c>
      <c r="L26" s="3">
        <f>IFERROR(__xludf.DUMMYFUNCTION("""COMPUTED_VALUE"""),4.0)</f>
        <v>4</v>
      </c>
      <c r="M26" s="3">
        <f>IFERROR(__xludf.DUMMYFUNCTION("""COMPUTED_VALUE"""),0.0)</f>
        <v>0</v>
      </c>
      <c r="N26" s="3">
        <f>IFERROR(__xludf.DUMMYFUNCTION("""COMPUTED_VALUE"""),0.0)</f>
        <v>0</v>
      </c>
      <c r="O26" s="3">
        <f>IFERROR(__xludf.DUMMYFUNCTION("""COMPUTED_VALUE"""),7.0)</f>
        <v>7</v>
      </c>
      <c r="P26" s="3">
        <f>IFERROR(__xludf.DUMMYFUNCTION("""COMPUTED_VALUE"""),0.0)</f>
        <v>0</v>
      </c>
      <c r="Q26" s="3">
        <f>IFERROR(__xludf.DUMMYFUNCTION("""COMPUTED_VALUE"""),0.0)</f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 t="str">
        <f>IFERROR(__xludf.DUMMYFUNCTION("""COMPUTED_VALUE"""),"24141003")</f>
        <v>24141003</v>
      </c>
      <c r="B27" s="3">
        <f>IFERROR(__xludf.DUMMYFUNCTION("""COMPUTED_VALUE"""),0.0)</f>
        <v>0</v>
      </c>
      <c r="C27" s="3">
        <f>IFERROR(__xludf.DUMMYFUNCTION("""COMPUTED_VALUE"""),0.0)</f>
        <v>0</v>
      </c>
      <c r="D27" s="3">
        <f>IFERROR(__xludf.DUMMYFUNCTION("""COMPUTED_VALUE"""),0.0)</f>
        <v>0</v>
      </c>
      <c r="E27" s="3">
        <f>IFERROR(__xludf.DUMMYFUNCTION("""COMPUTED_VALUE"""),0.0)</f>
        <v>0</v>
      </c>
      <c r="F27" s="3">
        <f>IFERROR(__xludf.DUMMYFUNCTION("""COMPUTED_VALUE"""),0.0)</f>
        <v>0</v>
      </c>
      <c r="G27" s="3">
        <f>IFERROR(__xludf.DUMMYFUNCTION("""COMPUTED_VALUE"""),0.0)</f>
        <v>0</v>
      </c>
      <c r="H27" s="3">
        <f>IFERROR(__xludf.DUMMYFUNCTION("""COMPUTED_VALUE"""),0.0)</f>
        <v>0</v>
      </c>
      <c r="I27" s="3">
        <f>IFERROR(__xludf.DUMMYFUNCTION("""COMPUTED_VALUE"""),0.0)</f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f>IFERROR(__xludf.DUMMYFUNCTION("""COMPUTED_VALUE"""),0.0)</f>
        <v>0</v>
      </c>
      <c r="V27" s="3"/>
      <c r="W27" s="3">
        <f>IFERROR(__xludf.DUMMYFUNCTION("""COMPUTED_VALUE"""),0.0)</f>
        <v>0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 t="str">
        <f>IFERROR(__xludf.DUMMYFUNCTION("""COMPUTED_VALUE"""),"24201104")</f>
        <v>24201104</v>
      </c>
      <c r="B28" s="3">
        <f>IFERROR(__xludf.DUMMYFUNCTION("""COMPUTED_VALUE"""),4.622641509433962)</f>
        <v>4.622641509</v>
      </c>
      <c r="C28" s="3">
        <f>IFERROR(__xludf.DUMMYFUNCTION("""COMPUTED_VALUE"""),0.0)</f>
        <v>0</v>
      </c>
      <c r="D28" s="3">
        <f>IFERROR(__xludf.DUMMYFUNCTION("""COMPUTED_VALUE"""),4.622641509433962)</f>
        <v>4.622641509</v>
      </c>
      <c r="E28" s="3">
        <f>IFERROR(__xludf.DUMMYFUNCTION("""COMPUTED_VALUE"""),0.0)</f>
        <v>0</v>
      </c>
      <c r="F28" s="3">
        <f>IFERROR(__xludf.DUMMYFUNCTION("""COMPUTED_VALUE"""),0.0)</f>
        <v>0</v>
      </c>
      <c r="G28" s="3">
        <f>IFERROR(__xludf.DUMMYFUNCTION("""COMPUTED_VALUE"""),0.0)</f>
        <v>0</v>
      </c>
      <c r="H28" s="3">
        <f>IFERROR(__xludf.DUMMYFUNCTION("""COMPUTED_VALUE"""),0.0)</f>
        <v>0</v>
      </c>
      <c r="I28" s="3">
        <f>IFERROR(__xludf.DUMMYFUNCTION("""COMPUTED_VALUE"""),0.0)</f>
        <v>0</v>
      </c>
      <c r="J28" s="3">
        <f>IFERROR(__xludf.DUMMYFUNCTION("""COMPUTED_VALUE"""),8.0)</f>
        <v>8</v>
      </c>
      <c r="K28" s="3">
        <f>IFERROR(__xludf.DUMMYFUNCTION("""COMPUTED_VALUE"""),8.0)</f>
        <v>8</v>
      </c>
      <c r="L28" s="3">
        <f>IFERROR(__xludf.DUMMYFUNCTION("""COMPUTED_VALUE"""),8.0)</f>
        <v>8</v>
      </c>
      <c r="M28" s="3">
        <f>IFERROR(__xludf.DUMMYFUNCTION("""COMPUTED_VALUE"""),8.0)</f>
        <v>8</v>
      </c>
      <c r="N28" s="3">
        <f>IFERROR(__xludf.DUMMYFUNCTION("""COMPUTED_VALUE"""),8.0)</f>
        <v>8</v>
      </c>
      <c r="O28" s="3">
        <f>IFERROR(__xludf.DUMMYFUNCTION("""COMPUTED_VALUE"""),8.0)</f>
        <v>8</v>
      </c>
      <c r="P28" s="3">
        <f>IFERROR(__xludf.DUMMYFUNCTION("""COMPUTED_VALUE"""),1.0)</f>
        <v>1</v>
      </c>
      <c r="Q28" s="3">
        <f>IFERROR(__xludf.DUMMYFUNCTION("""COMPUTED_VALUE"""),0.0)</f>
        <v>0</v>
      </c>
      <c r="R28" s="3"/>
      <c r="S28" s="3"/>
      <c r="T28" s="3"/>
      <c r="U28" s="3">
        <f>IFERROR(__xludf.DUMMYFUNCTION("""COMPUTED_VALUE"""),0.0)</f>
        <v>0</v>
      </c>
      <c r="V28" s="3"/>
      <c r="W28" s="3">
        <f>IFERROR(__xludf.DUMMYFUNCTION("""COMPUTED_VALUE"""),0.0)</f>
        <v>0</v>
      </c>
      <c r="X28" s="3"/>
      <c r="Y28" s="3">
        <f>IFERROR(__xludf.DUMMYFUNCTION("""COMPUTED_VALUE"""),0.0)</f>
        <v>0</v>
      </c>
      <c r="Z28" s="3"/>
      <c r="AA28" s="3"/>
      <c r="AB28" s="3">
        <f>IFERROR(__xludf.DUMMYFUNCTION("""COMPUTED_VALUE"""),0.0)</f>
        <v>0</v>
      </c>
      <c r="AC28" s="3"/>
      <c r="AD28" s="3"/>
      <c r="AE28" s="3"/>
      <c r="AF28" s="3">
        <f>IFERROR(__xludf.DUMMYFUNCTION("""COMPUTED_VALUE"""),0.0)</f>
        <v>0</v>
      </c>
      <c r="AG28" s="3"/>
      <c r="AH28" s="3"/>
      <c r="AI28" s="3"/>
      <c r="AJ28" s="3">
        <f>IFERROR(__xludf.DUMMYFUNCTION("""COMPUTED_VALUE"""),0.0)</f>
        <v>0</v>
      </c>
      <c r="AK28" s="3"/>
      <c r="AL28" s="3"/>
      <c r="AM28" s="3">
        <f>IFERROR(__xludf.DUMMYFUNCTION("""COMPUTED_VALUE"""),0.0)</f>
        <v>0</v>
      </c>
      <c r="AN28" s="3"/>
      <c r="AO28" s="3">
        <f>IFERROR(__xludf.DUMMYFUNCTION("""COMPUTED_VALUE"""),0.0)</f>
        <v>0</v>
      </c>
      <c r="AP28" s="3"/>
      <c r="AQ28" s="3">
        <f>IFERROR(__xludf.DUMMYFUNCTION("""COMPUTED_VALUE"""),0.0)</f>
        <v>0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 t="str">
        <f>IFERROR(__xludf.DUMMYFUNCTION("""COMPUTED_VALUE"""),"24301108")</f>
        <v>24301108</v>
      </c>
      <c r="B29" s="3">
        <f>IFERROR(__xludf.DUMMYFUNCTION("""COMPUTED_VALUE"""),11.477987421383649)</f>
        <v>11.47798742</v>
      </c>
      <c r="C29" s="3">
        <f>IFERROR(__xludf.DUMMYFUNCTION("""COMPUTED_VALUE"""),6.666666666666667)</f>
        <v>6.666666667</v>
      </c>
      <c r="D29" s="3">
        <f>IFERROR(__xludf.DUMMYFUNCTION("""COMPUTED_VALUE"""),4.811320754716981)</f>
        <v>4.811320755</v>
      </c>
      <c r="E29" s="3">
        <f>IFERROR(__xludf.DUMMYFUNCTION("""COMPUTED_VALUE"""),0.0)</f>
        <v>0</v>
      </c>
      <c r="F29" s="3">
        <f>IFERROR(__xludf.DUMMYFUNCTION("""COMPUTED_VALUE"""),0.0)</f>
        <v>0</v>
      </c>
      <c r="G29" s="3">
        <f>IFERROR(__xludf.DUMMYFUNCTION("""COMPUTED_VALUE"""),0.0)</f>
        <v>0</v>
      </c>
      <c r="H29" s="3">
        <f>IFERROR(__xludf.DUMMYFUNCTION("""COMPUTED_VALUE"""),10.0)</f>
        <v>10</v>
      </c>
      <c r="I29" s="3">
        <f>IFERROR(__xludf.DUMMYFUNCTION("""COMPUTED_VALUE"""),10.0)</f>
        <v>10</v>
      </c>
      <c r="J29" s="3">
        <f>IFERROR(__xludf.DUMMYFUNCTION("""COMPUTED_VALUE"""),8.0)</f>
        <v>8</v>
      </c>
      <c r="K29" s="3">
        <f>IFERROR(__xludf.DUMMYFUNCTION("""COMPUTED_VALUE"""),5.0)</f>
        <v>5</v>
      </c>
      <c r="L29" s="3">
        <f>IFERROR(__xludf.DUMMYFUNCTION("""COMPUTED_VALUE"""),8.0)</f>
        <v>8</v>
      </c>
      <c r="M29" s="3">
        <f>IFERROR(__xludf.DUMMYFUNCTION("""COMPUTED_VALUE"""),8.0)</f>
        <v>8</v>
      </c>
      <c r="N29" s="3">
        <f>IFERROR(__xludf.DUMMYFUNCTION("""COMPUTED_VALUE"""),8.0)</f>
        <v>8</v>
      </c>
      <c r="O29" s="3">
        <f>IFERROR(__xludf.DUMMYFUNCTION("""COMPUTED_VALUE"""),8.0)</f>
        <v>8</v>
      </c>
      <c r="P29" s="3">
        <f>IFERROR(__xludf.DUMMYFUNCTION("""COMPUTED_VALUE"""),6.0)</f>
        <v>6</v>
      </c>
      <c r="Q29" s="3">
        <f>IFERROR(__xludf.DUMMYFUNCTION("""COMPUTED_VALUE"""),0.0)</f>
        <v>0</v>
      </c>
      <c r="R29" s="3"/>
      <c r="S29" s="3"/>
      <c r="T29" s="3"/>
      <c r="U29" s="3">
        <f>IFERROR(__xludf.DUMMYFUNCTION("""COMPUTED_VALUE"""),0.0)</f>
        <v>0</v>
      </c>
      <c r="V29" s="3"/>
      <c r="W29" s="3">
        <f>IFERROR(__xludf.DUMMYFUNCTION("""COMPUTED_VALUE"""),0.0)</f>
        <v>0</v>
      </c>
      <c r="X29" s="3"/>
      <c r="Y29" s="3"/>
      <c r="Z29" s="3"/>
      <c r="AA29" s="3"/>
      <c r="AB29" s="3"/>
      <c r="AC29" s="3"/>
      <c r="AD29" s="3"/>
      <c r="AE29" s="3"/>
      <c r="AF29" s="3">
        <f>IFERROR(__xludf.DUMMYFUNCTION("""COMPUTED_VALUE"""),0.0)</f>
        <v>0</v>
      </c>
      <c r="AG29" s="3"/>
      <c r="AH29" s="3"/>
      <c r="AI29" s="3"/>
      <c r="AJ29" s="3">
        <f>IFERROR(__xludf.DUMMYFUNCTION("""COMPUTED_VALUE"""),0.0)</f>
        <v>0</v>
      </c>
      <c r="AK29" s="3"/>
      <c r="AL29" s="3"/>
      <c r="AM29" s="3">
        <f>IFERROR(__xludf.DUMMYFUNCTION("""COMPUTED_VALUE"""),1.0)</f>
        <v>1</v>
      </c>
      <c r="AN29" s="3"/>
      <c r="AO29" s="3">
        <f>IFERROR(__xludf.DUMMYFUNCTION("""COMPUTED_VALUE"""),1.0)</f>
        <v>1</v>
      </c>
      <c r="AP29" s="3"/>
      <c r="AQ29" s="3">
        <f>IFERROR(__xludf.DUMMYFUNCTION("""COMPUTED_VALUE"""),0.0)</f>
        <v>0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 t="str">
        <f>IFERROR(__xludf.DUMMYFUNCTION("""COMPUTED_VALUE"""),"24301165")</f>
        <v>24301165</v>
      </c>
      <c r="B30" s="3">
        <f>IFERROR(__xludf.DUMMYFUNCTION("""COMPUTED_VALUE"""),5.861635220125786)</f>
        <v>5.86163522</v>
      </c>
      <c r="C30" s="3">
        <f>IFERROR(__xludf.DUMMYFUNCTION("""COMPUTED_VALUE"""),1.3333333333333333)</f>
        <v>1.333333333</v>
      </c>
      <c r="D30" s="3">
        <f>IFERROR(__xludf.DUMMYFUNCTION("""COMPUTED_VALUE"""),4.528301886792453)</f>
        <v>4.528301887</v>
      </c>
      <c r="E30" s="3">
        <f>IFERROR(__xludf.DUMMYFUNCTION("""COMPUTED_VALUE"""),0.0)</f>
        <v>0</v>
      </c>
      <c r="F30" s="3">
        <f>IFERROR(__xludf.DUMMYFUNCTION("""COMPUTED_VALUE"""),2.0)</f>
        <v>2</v>
      </c>
      <c r="G30" s="3">
        <f>IFERROR(__xludf.DUMMYFUNCTION("""COMPUTED_VALUE"""),0.0)</f>
        <v>0</v>
      </c>
      <c r="H30" s="3">
        <f>IFERROR(__xludf.DUMMYFUNCTION("""COMPUTED_VALUE"""),2.0)</f>
        <v>2</v>
      </c>
      <c r="I30" s="3">
        <f>IFERROR(__xludf.DUMMYFUNCTION("""COMPUTED_VALUE"""),0.0)</f>
        <v>0</v>
      </c>
      <c r="J30" s="3">
        <f>IFERROR(__xludf.DUMMYFUNCTION("""COMPUTED_VALUE"""),8.0)</f>
        <v>8</v>
      </c>
      <c r="K30" s="3">
        <f>IFERROR(__xludf.DUMMYFUNCTION("""COMPUTED_VALUE"""),8.0)</f>
        <v>8</v>
      </c>
      <c r="L30" s="3">
        <f>IFERROR(__xludf.DUMMYFUNCTION("""COMPUTED_VALUE"""),8.0)</f>
        <v>8</v>
      </c>
      <c r="M30" s="3">
        <f>IFERROR(__xludf.DUMMYFUNCTION("""COMPUTED_VALUE"""),8.0)</f>
        <v>8</v>
      </c>
      <c r="N30" s="3">
        <f>IFERROR(__xludf.DUMMYFUNCTION("""COMPUTED_VALUE"""),8.0)</f>
        <v>8</v>
      </c>
      <c r="O30" s="3">
        <f>IFERROR(__xludf.DUMMYFUNCTION("""COMPUTED_VALUE"""),8.0)</f>
        <v>8</v>
      </c>
      <c r="P30" s="3">
        <f>IFERROR(__xludf.DUMMYFUNCTION("""COMPUTED_VALUE"""),0.0)</f>
        <v>0</v>
      </c>
      <c r="Q30" s="3">
        <f>IFERROR(__xludf.DUMMYFUNCTION("""COMPUTED_VALUE"""),0.0)</f>
        <v>0</v>
      </c>
      <c r="R30" s="3"/>
      <c r="S30" s="3"/>
      <c r="T30" s="3"/>
      <c r="U30" s="3">
        <f>IFERROR(__xludf.DUMMYFUNCTION("""COMPUTED_VALUE"""),0.0)</f>
        <v>0</v>
      </c>
      <c r="V30" s="3"/>
      <c r="W30" s="3">
        <f>IFERROR(__xludf.DUMMYFUNCTION("""COMPUTED_VALUE"""),0.0)</f>
        <v>0</v>
      </c>
      <c r="X30" s="3"/>
      <c r="Y30" s="3">
        <f>IFERROR(__xludf.DUMMYFUNCTION("""COMPUTED_VALUE"""),0.2)</f>
        <v>0.2</v>
      </c>
      <c r="Z30" s="3"/>
      <c r="AA30" s="3"/>
      <c r="AB30" s="3">
        <f>IFERROR(__xludf.DUMMYFUNCTION("""COMPUTED_VALUE"""),0.0)</f>
        <v>0</v>
      </c>
      <c r="AC30" s="3"/>
      <c r="AD30" s="3"/>
      <c r="AE30" s="3"/>
      <c r="AF30" s="3"/>
      <c r="AG30" s="3"/>
      <c r="AH30" s="3"/>
      <c r="AI30" s="3"/>
      <c r="AJ30" s="3">
        <f>IFERROR(__xludf.DUMMYFUNCTION("""COMPUTED_VALUE"""),0.2)</f>
        <v>0.2</v>
      </c>
      <c r="AK30" s="3"/>
      <c r="AL30" s="3"/>
      <c r="AM30" s="3">
        <f>IFERROR(__xludf.DUMMYFUNCTION("""COMPUTED_VALUE"""),0.0)</f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 t="str">
        <f>IFERROR(__xludf.DUMMYFUNCTION("""COMPUTED_VALUE"""),"24301461")</f>
        <v>24301461</v>
      </c>
      <c r="B31" s="3">
        <f>IFERROR(__xludf.DUMMYFUNCTION("""COMPUTED_VALUE"""),4.811320754716981)</f>
        <v>4.811320755</v>
      </c>
      <c r="C31" s="3">
        <f>IFERROR(__xludf.DUMMYFUNCTION("""COMPUTED_VALUE"""),0.0)</f>
        <v>0</v>
      </c>
      <c r="D31" s="3">
        <f>IFERROR(__xludf.DUMMYFUNCTION("""COMPUTED_VALUE"""),4.811320754716981)</f>
        <v>4.811320755</v>
      </c>
      <c r="E31" s="3">
        <f>IFERROR(__xludf.DUMMYFUNCTION("""COMPUTED_VALUE"""),0.0)</f>
        <v>0</v>
      </c>
      <c r="F31" s="3">
        <f>IFERROR(__xludf.DUMMYFUNCTION("""COMPUTED_VALUE"""),0.0)</f>
        <v>0</v>
      </c>
      <c r="G31" s="3">
        <f>IFERROR(__xludf.DUMMYFUNCTION("""COMPUTED_VALUE"""),0.0)</f>
        <v>0</v>
      </c>
      <c r="H31" s="3">
        <f>IFERROR(__xludf.DUMMYFUNCTION("""COMPUTED_VALUE"""),0.0)</f>
        <v>0</v>
      </c>
      <c r="I31" s="3">
        <f>IFERROR(__xludf.DUMMYFUNCTION("""COMPUTED_VALUE"""),0.0)</f>
        <v>0</v>
      </c>
      <c r="J31" s="3">
        <f>IFERROR(__xludf.DUMMYFUNCTION("""COMPUTED_VALUE"""),8.0)</f>
        <v>8</v>
      </c>
      <c r="K31" s="3">
        <f>IFERROR(__xludf.DUMMYFUNCTION("""COMPUTED_VALUE"""),8.0)</f>
        <v>8</v>
      </c>
      <c r="L31" s="3">
        <f>IFERROR(__xludf.DUMMYFUNCTION("""COMPUTED_VALUE"""),8.0)</f>
        <v>8</v>
      </c>
      <c r="M31" s="3">
        <f>IFERROR(__xludf.DUMMYFUNCTION("""COMPUTED_VALUE"""),7.0)</f>
        <v>7</v>
      </c>
      <c r="N31" s="3">
        <f>IFERROR(__xludf.DUMMYFUNCTION("""COMPUTED_VALUE"""),1.0)</f>
        <v>1</v>
      </c>
      <c r="O31" s="3">
        <f>IFERROR(__xludf.DUMMYFUNCTION("""COMPUTED_VALUE"""),8.0)</f>
        <v>8</v>
      </c>
      <c r="P31" s="3">
        <f>IFERROR(__xludf.DUMMYFUNCTION("""COMPUTED_VALUE"""),6.0)</f>
        <v>6</v>
      </c>
      <c r="Q31" s="3">
        <f>IFERROR(__xludf.DUMMYFUNCTION("""COMPUTED_VALUE"""),5.0)</f>
        <v>5</v>
      </c>
      <c r="R31" s="3"/>
      <c r="S31" s="3"/>
      <c r="T31" s="3"/>
      <c r="U31" s="3">
        <f>IFERROR(__xludf.DUMMYFUNCTION("""COMPUTED_VALUE"""),0.0)</f>
        <v>0</v>
      </c>
      <c r="V31" s="3"/>
      <c r="W31" s="3">
        <f>IFERROR(__xludf.DUMMYFUNCTION("""COMPUTED_VALUE"""),0.0)</f>
        <v>0</v>
      </c>
      <c r="X31" s="3"/>
      <c r="Y31" s="3">
        <f>IFERROR(__xludf.DUMMYFUNCTION("""COMPUTED_VALUE"""),0.0)</f>
        <v>0</v>
      </c>
      <c r="Z31" s="3"/>
      <c r="AA31" s="3"/>
      <c r="AB31" s="3">
        <f>IFERROR(__xludf.DUMMYFUNCTION("""COMPUTED_VALUE"""),0.0)</f>
        <v>0</v>
      </c>
      <c r="AC31" s="3"/>
      <c r="AD31" s="3"/>
      <c r="AE31" s="3"/>
      <c r="AF31" s="3">
        <f>IFERROR(__xludf.DUMMYFUNCTION("""COMPUTED_VALUE"""),0.0)</f>
        <v>0</v>
      </c>
      <c r="AG31" s="3"/>
      <c r="AH31" s="3"/>
      <c r="AI31" s="3"/>
      <c r="AJ31" s="3"/>
      <c r="AK31" s="3"/>
      <c r="AL31" s="3"/>
      <c r="AM31" s="3"/>
      <c r="AN31" s="3"/>
      <c r="AO31" s="3">
        <f>IFERROR(__xludf.DUMMYFUNCTION("""COMPUTED_VALUE"""),0.0)</f>
        <v>0</v>
      </c>
      <c r="AP31" s="3"/>
      <c r="AQ31" s="3">
        <f>IFERROR(__xludf.DUMMYFUNCTION("""COMPUTED_VALUE"""),0.0)</f>
        <v>0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 t="str">
        <f>IFERROR(__xludf.DUMMYFUNCTION("""COMPUTED_VALUE"""),"24301529")</f>
        <v>24301529</v>
      </c>
      <c r="B32" s="3">
        <f>IFERROR(__xludf.DUMMYFUNCTION("""COMPUTED_VALUE"""),3.874213836477987)</f>
        <v>3.874213836</v>
      </c>
      <c r="C32" s="3">
        <f>IFERROR(__xludf.DUMMYFUNCTION("""COMPUTED_VALUE"""),0.6666666666666666)</f>
        <v>0.6666666667</v>
      </c>
      <c r="D32" s="3">
        <f>IFERROR(__xludf.DUMMYFUNCTION("""COMPUTED_VALUE"""),3.2075471698113205)</f>
        <v>3.20754717</v>
      </c>
      <c r="E32" s="3">
        <f>IFERROR(__xludf.DUMMYFUNCTION("""COMPUTED_VALUE"""),0.0)</f>
        <v>0</v>
      </c>
      <c r="F32" s="3">
        <f>IFERROR(__xludf.DUMMYFUNCTION("""COMPUTED_VALUE"""),0.0)</f>
        <v>0</v>
      </c>
      <c r="G32" s="3">
        <f>IFERROR(__xludf.DUMMYFUNCTION("""COMPUTED_VALUE"""),0.0)</f>
        <v>0</v>
      </c>
      <c r="H32" s="3">
        <f>IFERROR(__xludf.DUMMYFUNCTION("""COMPUTED_VALUE"""),0.0)</f>
        <v>0</v>
      </c>
      <c r="I32" s="3">
        <f>IFERROR(__xludf.DUMMYFUNCTION("""COMPUTED_VALUE"""),2.0)</f>
        <v>2</v>
      </c>
      <c r="J32" s="3">
        <f>IFERROR(__xludf.DUMMYFUNCTION("""COMPUTED_VALUE"""),0.0)</f>
        <v>0</v>
      </c>
      <c r="K32" s="3">
        <f>IFERROR(__xludf.DUMMYFUNCTION("""COMPUTED_VALUE"""),7.0)</f>
        <v>7</v>
      </c>
      <c r="L32" s="3">
        <f>IFERROR(__xludf.DUMMYFUNCTION("""COMPUTED_VALUE"""),8.0)</f>
        <v>8</v>
      </c>
      <c r="M32" s="3">
        <f>IFERROR(__xludf.DUMMYFUNCTION("""COMPUTED_VALUE"""),8.0)</f>
        <v>8</v>
      </c>
      <c r="N32" s="3">
        <f>IFERROR(__xludf.DUMMYFUNCTION("""COMPUTED_VALUE"""),5.0)</f>
        <v>5</v>
      </c>
      <c r="O32" s="3">
        <f>IFERROR(__xludf.DUMMYFUNCTION("""COMPUTED_VALUE"""),0.0)</f>
        <v>0</v>
      </c>
      <c r="P32" s="3">
        <f>IFERROR(__xludf.DUMMYFUNCTION("""COMPUTED_VALUE"""),6.0)</f>
        <v>6</v>
      </c>
      <c r="Q32" s="3">
        <f>IFERROR(__xludf.DUMMYFUNCTION("""COMPUTED_VALUE"""),0.0)</f>
        <v>0</v>
      </c>
      <c r="R32" s="3"/>
      <c r="S32" s="3"/>
      <c r="T32" s="3"/>
      <c r="U32" s="3">
        <f>IFERROR(__xludf.DUMMYFUNCTION("""COMPUTED_VALUE"""),0.0)</f>
        <v>0</v>
      </c>
      <c r="V32" s="3"/>
      <c r="W32" s="3">
        <f>IFERROR(__xludf.DUMMYFUNCTION("""COMPUTED_VALUE"""),0.0)</f>
        <v>0</v>
      </c>
      <c r="X32" s="3"/>
      <c r="Y32" s="3"/>
      <c r="Z32" s="3"/>
      <c r="AA32" s="3"/>
      <c r="AB32" s="3"/>
      <c r="AC32" s="3"/>
      <c r="AD32" s="3"/>
      <c r="AE32" s="3"/>
      <c r="AF32" s="3">
        <f>IFERROR(__xludf.DUMMYFUNCTION("""COMPUTED_VALUE"""),0.0)</f>
        <v>0</v>
      </c>
      <c r="AG32" s="3"/>
      <c r="AH32" s="3"/>
      <c r="AI32" s="3"/>
      <c r="AJ32" s="3">
        <f>IFERROR(__xludf.DUMMYFUNCTION("""COMPUTED_VALUE"""),0.0)</f>
        <v>0</v>
      </c>
      <c r="AK32" s="3"/>
      <c r="AL32" s="3"/>
      <c r="AM32" s="3">
        <f>IFERROR(__xludf.DUMMYFUNCTION("""COMPUTED_VALUE"""),0.0)</f>
        <v>0</v>
      </c>
      <c r="AN32" s="3"/>
      <c r="AO32" s="3">
        <f>IFERROR(__xludf.DUMMYFUNCTION("""COMPUTED_VALUE"""),0.0)</f>
        <v>0</v>
      </c>
      <c r="AP32" s="3"/>
      <c r="AQ32" s="3">
        <f>IFERROR(__xludf.DUMMYFUNCTION("""COMPUTED_VALUE"""),0.2)</f>
        <v>0.2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 t="str">
        <f>IFERROR(__xludf.DUMMYFUNCTION("""COMPUTED_VALUE"""),"24341074")</f>
        <v>24341074</v>
      </c>
      <c r="B33" s="3">
        <f>IFERROR(__xludf.DUMMYFUNCTION("""COMPUTED_VALUE"""),2.2641509433962264)</f>
        <v>2.264150943</v>
      </c>
      <c r="C33" s="3">
        <f>IFERROR(__xludf.DUMMYFUNCTION("""COMPUTED_VALUE"""),0.0)</f>
        <v>0</v>
      </c>
      <c r="D33" s="3">
        <f>IFERROR(__xludf.DUMMYFUNCTION("""COMPUTED_VALUE"""),2.2641509433962264)</f>
        <v>2.264150943</v>
      </c>
      <c r="E33" s="3">
        <f>IFERROR(__xludf.DUMMYFUNCTION("""COMPUTED_VALUE"""),0.0)</f>
        <v>0</v>
      </c>
      <c r="F33" s="3">
        <f>IFERROR(__xludf.DUMMYFUNCTION("""COMPUTED_VALUE"""),0.0)</f>
        <v>0</v>
      </c>
      <c r="G33" s="3">
        <f>IFERROR(__xludf.DUMMYFUNCTION("""COMPUTED_VALUE"""),0.0)</f>
        <v>0</v>
      </c>
      <c r="H33" s="3">
        <f>IFERROR(__xludf.DUMMYFUNCTION("""COMPUTED_VALUE"""),0.0)</f>
        <v>0</v>
      </c>
      <c r="I33" s="3">
        <f>IFERROR(__xludf.DUMMYFUNCTION("""COMPUTED_VALUE"""),0.0)</f>
        <v>0</v>
      </c>
      <c r="J33" s="3">
        <f>IFERROR(__xludf.DUMMYFUNCTION("""COMPUTED_VALUE"""),8.0)</f>
        <v>8</v>
      </c>
      <c r="K33" s="3">
        <f>IFERROR(__xludf.DUMMYFUNCTION("""COMPUTED_VALUE"""),8.0)</f>
        <v>8</v>
      </c>
      <c r="L33" s="3">
        <f>IFERROR(__xludf.DUMMYFUNCTION("""COMPUTED_VALUE"""),8.0)</f>
        <v>8</v>
      </c>
      <c r="M33" s="3">
        <f>IFERROR(__xludf.DUMMYFUNCTION("""COMPUTED_VALUE"""),0.0)</f>
        <v>0</v>
      </c>
      <c r="N33" s="3">
        <f>IFERROR(__xludf.DUMMYFUNCTION("""COMPUTED_VALUE"""),0.0)</f>
        <v>0</v>
      </c>
      <c r="O33" s="3">
        <f>IFERROR(__xludf.DUMMYFUNCTION("""COMPUTED_VALUE"""),0.0)</f>
        <v>0</v>
      </c>
      <c r="P33" s="3">
        <f>IFERROR(__xludf.DUMMYFUNCTION("""COMPUTED_VALUE"""),0.0)</f>
        <v>0</v>
      </c>
      <c r="Q33" s="3">
        <f>IFERROR(__xludf.DUMMYFUNCTION("""COMPUTED_VALUE"""),0.0)</f>
        <v>0</v>
      </c>
      <c r="R33" s="3"/>
      <c r="S33" s="3"/>
      <c r="T33" s="3"/>
      <c r="U33" s="3">
        <f>IFERROR(__xludf.DUMMYFUNCTION("""COMPUTED_VALUE"""),0.0)</f>
        <v>0</v>
      </c>
      <c r="V33" s="3"/>
      <c r="W33" s="3">
        <f>IFERROR(__xludf.DUMMYFUNCTION("""COMPUTED_VALUE"""),0.0)</f>
        <v>0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3.980117671</v>
      </c>
      <c r="C43" s="3">
        <v>0.9354838709677419</v>
      </c>
      <c r="D43" s="3">
        <v>3.216676810712112</v>
      </c>
      <c r="E43" s="3">
        <v>0.8709677419354839</v>
      </c>
      <c r="F43" s="3">
        <v>0.22580645161290322</v>
      </c>
      <c r="G43" s="3">
        <v>0.25806451612903225</v>
      </c>
      <c r="H43" s="3">
        <v>0.7096774193548387</v>
      </c>
      <c r="I43" s="3">
        <v>0.9354838709677419</v>
      </c>
      <c r="J43" s="3">
        <v>4.962962962962963</v>
      </c>
      <c r="K43" s="3">
        <v>6.888888888888889</v>
      </c>
      <c r="L43" s="3">
        <v>6.37037037037037</v>
      </c>
      <c r="M43" s="3">
        <v>6.407407407407407</v>
      </c>
      <c r="N43" s="3">
        <v>5.148148148148148</v>
      </c>
      <c r="O43" s="3">
        <v>5.37037037037037</v>
      </c>
      <c r="P43" s="3">
        <v>3.7777777777777777</v>
      </c>
      <c r="Q43" s="3">
        <v>0.4074074074074074</v>
      </c>
      <c r="R43" s="3" t="e">
        <v>#DIV/0!</v>
      </c>
      <c r="S43" s="3" t="e">
        <v>#DIV/0!</v>
      </c>
      <c r="T43" s="3" t="e">
        <v>#DIV/0!</v>
      </c>
      <c r="U43" s="3">
        <v>0.052000000000000005</v>
      </c>
      <c r="V43" s="3" t="e">
        <v>#DIV/0!</v>
      </c>
      <c r="W43" s="3">
        <v>0.05600000000000001</v>
      </c>
      <c r="X43" s="3" t="e">
        <v>#DIV/0!</v>
      </c>
      <c r="Y43" s="3">
        <v>0.03333333333333333</v>
      </c>
      <c r="Z43" s="3" t="e">
        <v>#DIV/0!</v>
      </c>
      <c r="AA43" s="3" t="e">
        <v>#DIV/0!</v>
      </c>
      <c r="AB43" s="3">
        <v>0.0</v>
      </c>
      <c r="AC43" s="3" t="e">
        <v>#DIV/0!</v>
      </c>
      <c r="AD43" s="3" t="e">
        <v>#DIV/0!</v>
      </c>
      <c r="AE43" s="3" t="e">
        <v>#DIV/0!</v>
      </c>
      <c r="AF43" s="3">
        <v>0.018181818181818184</v>
      </c>
      <c r="AG43" s="3" t="e">
        <v>#DIV/0!</v>
      </c>
      <c r="AH43" s="3" t="e">
        <v>#DIV/0!</v>
      </c>
      <c r="AI43" s="3" t="e">
        <v>#DIV/0!</v>
      </c>
      <c r="AJ43" s="3">
        <v>0.03684210526315789</v>
      </c>
      <c r="AK43" s="3" t="e">
        <v>#DIV/0!</v>
      </c>
      <c r="AL43" s="3" t="e">
        <v>#DIV/0!</v>
      </c>
      <c r="AM43" s="3">
        <v>0.07894736842105263</v>
      </c>
      <c r="AN43" s="3" t="e">
        <v>#DIV/0!</v>
      </c>
      <c r="AO43" s="3">
        <v>0.09473684210526316</v>
      </c>
      <c r="AP43" s="3" t="e">
        <v>#DIV/0!</v>
      </c>
      <c r="AQ43" s="3">
        <v>0.05789473684210527</v>
      </c>
      <c r="AR43" s="3" t="e">
        <v>#DIV/0!</v>
      </c>
      <c r="AS43" s="3" t="e">
        <v>#DIV/0!</v>
      </c>
      <c r="AT43" s="3" t="e">
        <v>#DIV/0!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3.874213836477987</v>
      </c>
      <c r="C44" s="3">
        <v>0.0</v>
      </c>
      <c r="D44" s="3">
        <v>3.584905660377358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7.0</v>
      </c>
      <c r="K44" s="3">
        <v>8.0</v>
      </c>
      <c r="L44" s="3">
        <v>8.0</v>
      </c>
      <c r="M44" s="3">
        <v>8.0</v>
      </c>
      <c r="N44" s="3">
        <v>8.0</v>
      </c>
      <c r="O44" s="3">
        <v>7.0</v>
      </c>
      <c r="P44" s="3">
        <v>6.0</v>
      </c>
      <c r="Q44" s="3">
        <v>0.0</v>
      </c>
      <c r="R44" s="3" t="e">
        <v>#NUM!</v>
      </c>
      <c r="S44" s="3" t="e">
        <v>#NUM!</v>
      </c>
      <c r="T44" s="3" t="e">
        <v>#NUM!</v>
      </c>
      <c r="U44" s="3">
        <v>0.0</v>
      </c>
      <c r="V44" s="3" t="e">
        <v>#NUM!</v>
      </c>
      <c r="W44" s="3">
        <v>0.0</v>
      </c>
      <c r="X44" s="3" t="e">
        <v>#NUM!</v>
      </c>
      <c r="Y44" s="3">
        <v>0.0</v>
      </c>
      <c r="Z44" s="3" t="e">
        <v>#NUM!</v>
      </c>
      <c r="AA44" s="3" t="e">
        <v>#NUM!</v>
      </c>
      <c r="AB44" s="3">
        <v>0.0</v>
      </c>
      <c r="AC44" s="3" t="e">
        <v>#NUM!</v>
      </c>
      <c r="AD44" s="3" t="e">
        <v>#NUM!</v>
      </c>
      <c r="AE44" s="3" t="e">
        <v>#NUM!</v>
      </c>
      <c r="AF44" s="3">
        <v>0.0</v>
      </c>
      <c r="AG44" s="3" t="e">
        <v>#NUM!</v>
      </c>
      <c r="AH44" s="3" t="e">
        <v>#NUM!</v>
      </c>
      <c r="AI44" s="3" t="e">
        <v>#NUM!</v>
      </c>
      <c r="AJ44" s="3">
        <v>0.0</v>
      </c>
      <c r="AK44" s="3" t="e">
        <v>#NUM!</v>
      </c>
      <c r="AL44" s="3" t="e">
        <v>#NUM!</v>
      </c>
      <c r="AM44" s="3">
        <v>0.0</v>
      </c>
      <c r="AN44" s="3" t="e">
        <v>#NUM!</v>
      </c>
      <c r="AO44" s="3">
        <v>0.0</v>
      </c>
      <c r="AP44" s="3" t="e">
        <v>#NUM!</v>
      </c>
      <c r="AQ44" s="3">
        <v>0.0</v>
      </c>
      <c r="AR44" s="3" t="e">
        <v>#NUM!</v>
      </c>
      <c r="AS44" s="3" t="e">
        <v>#NUM!</v>
      </c>
      <c r="AT44" s="3" t="e">
        <v>#NUM!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0.0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8.0</v>
      </c>
      <c r="K45" s="6">
        <v>8.0</v>
      </c>
      <c r="L45" s="6">
        <v>8.0</v>
      </c>
      <c r="M45" s="6">
        <v>8.0</v>
      </c>
      <c r="N45" s="6">
        <v>8.0</v>
      </c>
      <c r="O45" s="6">
        <v>8.0</v>
      </c>
      <c r="P45" s="6">
        <v>6.0</v>
      </c>
      <c r="Q45" s="6">
        <v>0.0</v>
      </c>
      <c r="R45" s="6" t="e">
        <v>#N/A</v>
      </c>
      <c r="S45" s="6" t="e">
        <v>#N/A</v>
      </c>
      <c r="T45" s="6" t="e">
        <v>#N/A</v>
      </c>
      <c r="U45" s="6">
        <v>0.0</v>
      </c>
      <c r="V45" s="6" t="e">
        <v>#N/A</v>
      </c>
      <c r="W45" s="6">
        <v>0.0</v>
      </c>
      <c r="X45" s="6" t="e">
        <v>#N/A</v>
      </c>
      <c r="Y45" s="6">
        <v>0.0</v>
      </c>
      <c r="Z45" s="6" t="e">
        <v>#N/A</v>
      </c>
      <c r="AA45" s="6" t="e">
        <v>#N/A</v>
      </c>
      <c r="AB45" s="6">
        <v>0.0</v>
      </c>
      <c r="AC45" s="6" t="e">
        <v>#N/A</v>
      </c>
      <c r="AD45" s="6" t="e">
        <v>#N/A</v>
      </c>
      <c r="AE45" s="6" t="e">
        <v>#N/A</v>
      </c>
      <c r="AF45" s="6">
        <v>0.0</v>
      </c>
      <c r="AG45" s="6" t="e">
        <v>#N/A</v>
      </c>
      <c r="AH45" s="6" t="e">
        <v>#N/A</v>
      </c>
      <c r="AI45" s="6" t="e">
        <v>#N/A</v>
      </c>
      <c r="AJ45" s="6">
        <v>0.0</v>
      </c>
      <c r="AK45" s="6" t="e">
        <v>#N/A</v>
      </c>
      <c r="AL45" s="6" t="e">
        <v>#N/A</v>
      </c>
      <c r="AM45" s="6">
        <v>0.0</v>
      </c>
      <c r="AN45" s="6" t="e">
        <v>#N/A</v>
      </c>
      <c r="AO45" s="6">
        <v>0.0</v>
      </c>
      <c r="AP45" s="6" t="e">
        <v>#N/A</v>
      </c>
      <c r="AQ45" s="6">
        <v>0.0</v>
      </c>
      <c r="AR45" s="6" t="e">
        <v>#N/A</v>
      </c>
      <c r="AS45" s="6" t="e">
        <v>#N/A</v>
      </c>
      <c r="AT45" s="6" t="e">
        <v>#N/A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11.477987421383649</v>
      </c>
      <c r="C47" s="6">
        <v>6.666666666666667</v>
      </c>
      <c r="D47" s="6">
        <v>5.0</v>
      </c>
      <c r="E47" s="6">
        <v>20.0</v>
      </c>
      <c r="F47" s="6">
        <v>3.0</v>
      </c>
      <c r="G47" s="6">
        <v>4.0</v>
      </c>
      <c r="H47" s="6">
        <v>10.0</v>
      </c>
      <c r="I47" s="6">
        <v>10.0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5.0</v>
      </c>
      <c r="R47" s="6">
        <v>0.0</v>
      </c>
      <c r="S47" s="6">
        <v>0.0</v>
      </c>
      <c r="T47" s="6">
        <v>0.0</v>
      </c>
      <c r="U47" s="6">
        <v>1.0</v>
      </c>
      <c r="V47" s="6">
        <v>0.0</v>
      </c>
      <c r="W47" s="6">
        <v>1.0</v>
      </c>
      <c r="X47" s="6">
        <v>0.0</v>
      </c>
      <c r="Y47" s="6">
        <v>0.3</v>
      </c>
      <c r="Z47" s="6">
        <v>0.0</v>
      </c>
      <c r="AA47" s="6">
        <v>0.0</v>
      </c>
      <c r="AB47" s="6">
        <v>0.0</v>
      </c>
      <c r="AC47" s="6">
        <v>0.0</v>
      </c>
      <c r="AD47" s="6">
        <v>0.0</v>
      </c>
      <c r="AE47" s="6">
        <v>0.0</v>
      </c>
      <c r="AF47" s="6">
        <v>0.2</v>
      </c>
      <c r="AG47" s="6">
        <v>0.0</v>
      </c>
      <c r="AH47" s="6">
        <v>0.0</v>
      </c>
      <c r="AI47" s="6">
        <v>0.0</v>
      </c>
      <c r="AJ47" s="6">
        <v>0.2</v>
      </c>
      <c r="AK47" s="6">
        <v>0.0</v>
      </c>
      <c r="AL47" s="6">
        <v>0.0</v>
      </c>
      <c r="AM47" s="6">
        <v>1.0</v>
      </c>
      <c r="AN47" s="6">
        <v>0.0</v>
      </c>
      <c r="AO47" s="6">
        <v>1.0</v>
      </c>
      <c r="AP47" s="6">
        <v>0.0</v>
      </c>
      <c r="AQ47" s="6">
        <v>0.2</v>
      </c>
      <c r="AR47" s="6">
        <v>0.0</v>
      </c>
      <c r="AS47" s="6">
        <v>0.0</v>
      </c>
      <c r="AT47" s="6">
        <v>0.0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31.0</v>
      </c>
      <c r="C48" s="6">
        <v>31.0</v>
      </c>
      <c r="D48" s="6">
        <v>31.0</v>
      </c>
      <c r="E48" s="6">
        <v>31.0</v>
      </c>
      <c r="F48" s="6">
        <v>31.0</v>
      </c>
      <c r="G48" s="6">
        <v>31.0</v>
      </c>
      <c r="H48" s="6">
        <v>31.0</v>
      </c>
      <c r="I48" s="6">
        <v>31.0</v>
      </c>
      <c r="J48" s="6">
        <v>27.0</v>
      </c>
      <c r="K48" s="6">
        <v>27.0</v>
      </c>
      <c r="L48" s="6">
        <v>27.0</v>
      </c>
      <c r="M48" s="6">
        <v>27.0</v>
      </c>
      <c r="N48" s="6">
        <v>27.0</v>
      </c>
      <c r="O48" s="6">
        <v>27.0</v>
      </c>
      <c r="P48" s="6">
        <v>27.0</v>
      </c>
      <c r="Q48" s="6">
        <v>27.0</v>
      </c>
      <c r="R48" s="6">
        <v>0.0</v>
      </c>
      <c r="S48" s="6">
        <v>0.0</v>
      </c>
      <c r="T48" s="6">
        <v>0.0</v>
      </c>
      <c r="U48" s="6">
        <v>25.0</v>
      </c>
      <c r="V48" s="6">
        <v>0.0</v>
      </c>
      <c r="W48" s="6">
        <v>25.0</v>
      </c>
      <c r="X48" s="6">
        <v>0.0</v>
      </c>
      <c r="Y48" s="6">
        <v>21.0</v>
      </c>
      <c r="Z48" s="6">
        <v>0.0</v>
      </c>
      <c r="AA48" s="6">
        <v>0.0</v>
      </c>
      <c r="AB48" s="6">
        <v>20.0</v>
      </c>
      <c r="AC48" s="6">
        <v>0.0</v>
      </c>
      <c r="AD48" s="6">
        <v>0.0</v>
      </c>
      <c r="AE48" s="6">
        <v>0.0</v>
      </c>
      <c r="AF48" s="6">
        <v>22.0</v>
      </c>
      <c r="AG48" s="6">
        <v>0.0</v>
      </c>
      <c r="AH48" s="6">
        <v>0.0</v>
      </c>
      <c r="AI48" s="6">
        <v>0.0</v>
      </c>
      <c r="AJ48" s="6">
        <v>19.0</v>
      </c>
      <c r="AK48" s="6">
        <v>0.0</v>
      </c>
      <c r="AL48" s="6">
        <v>0.0</v>
      </c>
      <c r="AM48" s="6">
        <v>19.0</v>
      </c>
      <c r="AN48" s="6">
        <v>0.0</v>
      </c>
      <c r="AO48" s="6">
        <v>19.0</v>
      </c>
      <c r="AP48" s="6">
        <v>0.0</v>
      </c>
      <c r="AQ48" s="6">
        <v>19.0</v>
      </c>
      <c r="AR48" s="6">
        <v>0.0</v>
      </c>
      <c r="AS48" s="6">
        <v>0.0</v>
      </c>
      <c r="AT48" s="6">
        <v>0.0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5.0</v>
      </c>
      <c r="C49" s="6">
        <v>19.0</v>
      </c>
      <c r="D49" s="6">
        <v>4.0</v>
      </c>
      <c r="E49" s="6">
        <v>27.0</v>
      </c>
      <c r="F49" s="6">
        <v>28.0</v>
      </c>
      <c r="G49" s="6">
        <v>29.0</v>
      </c>
      <c r="H49" s="6">
        <v>26.0</v>
      </c>
      <c r="I49" s="6">
        <v>24.0</v>
      </c>
      <c r="J49" s="6">
        <v>8.0</v>
      </c>
      <c r="K49" s="6">
        <v>1.0</v>
      </c>
      <c r="L49" s="6">
        <v>3.0</v>
      </c>
      <c r="M49" s="6">
        <v>4.0</v>
      </c>
      <c r="N49" s="6">
        <v>7.0</v>
      </c>
      <c r="O49" s="6">
        <v>7.0</v>
      </c>
      <c r="P49" s="6">
        <v>9.0</v>
      </c>
      <c r="Q49" s="6">
        <v>23.0</v>
      </c>
      <c r="R49" s="6">
        <v>0.0</v>
      </c>
      <c r="S49" s="6">
        <v>0.0</v>
      </c>
      <c r="T49" s="6">
        <v>0.0</v>
      </c>
      <c r="U49" s="6">
        <v>22.0</v>
      </c>
      <c r="V49" s="6">
        <v>0.0</v>
      </c>
      <c r="W49" s="6">
        <v>21.0</v>
      </c>
      <c r="X49" s="6">
        <v>0.0</v>
      </c>
      <c r="Y49" s="6">
        <v>18.0</v>
      </c>
      <c r="Z49" s="6">
        <v>0.0</v>
      </c>
      <c r="AA49" s="6">
        <v>0.0</v>
      </c>
      <c r="AB49" s="6">
        <v>20.0</v>
      </c>
      <c r="AC49" s="6">
        <v>0.0</v>
      </c>
      <c r="AD49" s="6">
        <v>0.0</v>
      </c>
      <c r="AE49" s="6">
        <v>0.0</v>
      </c>
      <c r="AF49" s="6">
        <v>20.0</v>
      </c>
      <c r="AG49" s="6">
        <v>0.0</v>
      </c>
      <c r="AH49" s="6">
        <v>0.0</v>
      </c>
      <c r="AI49" s="6">
        <v>0.0</v>
      </c>
      <c r="AJ49" s="6">
        <v>15.0</v>
      </c>
      <c r="AK49" s="6">
        <v>0.0</v>
      </c>
      <c r="AL49" s="6">
        <v>0.0</v>
      </c>
      <c r="AM49" s="6">
        <v>15.0</v>
      </c>
      <c r="AN49" s="6">
        <v>0.0</v>
      </c>
      <c r="AO49" s="6">
        <v>13.0</v>
      </c>
      <c r="AP49" s="6">
        <v>0.0</v>
      </c>
      <c r="AQ49" s="6">
        <v>13.0</v>
      </c>
      <c r="AR49" s="6">
        <v>0.0</v>
      </c>
      <c r="AS49" s="6">
        <v>0.0</v>
      </c>
      <c r="AT49" s="6">
        <v>0.0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