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  <sheet state="visible" name="attendance" sheetId="2" r:id="rId6"/>
    <sheet state="visible" name="Class Schedule" sheetId="3" r:id="rId7"/>
  </sheets>
  <definedNames/>
  <calcPr/>
</workbook>
</file>

<file path=xl/sharedStrings.xml><?xml version="1.0" encoding="utf-8"?>
<sst xmlns="http://schemas.openxmlformats.org/spreadsheetml/2006/main" count="422" uniqueCount="263">
  <si>
    <t>BRAC University</t>
  </si>
  <si>
    <t>Advising Section Confirmation Status</t>
  </si>
  <si>
    <t>Session:SUMMER 2026</t>
  </si>
  <si>
    <t>Academic Degree Undergraduate</t>
  </si>
  <si>
    <t xml:space="preserve">Course: CSE221 - 14 </t>
  </si>
  <si>
    <t>Quiz 1</t>
  </si>
  <si>
    <t>Online makeup</t>
  </si>
  <si>
    <t>Quiz 2</t>
  </si>
  <si>
    <t>Midterm</t>
  </si>
  <si>
    <t>Quiz 3</t>
  </si>
  <si>
    <t>cancelled</t>
  </si>
  <si>
    <t>Cancelled</t>
  </si>
  <si>
    <t>Student Id</t>
  </si>
  <si>
    <t>Name</t>
  </si>
  <si>
    <t>Program</t>
  </si>
  <si>
    <t>Email</t>
  </si>
  <si>
    <t>Phone</t>
  </si>
  <si>
    <t>Date</t>
  </si>
  <si>
    <t>Bonus</t>
  </si>
  <si>
    <t>Attendance</t>
  </si>
  <si>
    <t>Attendance percentage</t>
  </si>
  <si>
    <t>21301758</t>
  </si>
  <si>
    <t>Md. Ariful Islam Shafi</t>
  </si>
  <si>
    <t>Day</t>
  </si>
  <si>
    <t>Lecture covered</t>
  </si>
  <si>
    <t>CSE</t>
  </si>
  <si>
    <t>ariful.islam.shafi@g.bracu.ac.bd</t>
  </si>
  <si>
    <t>01817100324</t>
  </si>
  <si>
    <t>Final exam</t>
  </si>
  <si>
    <t>ST</t>
  </si>
  <si>
    <t>10Jun</t>
  </si>
  <si>
    <t>Quiz1(10)</t>
  </si>
  <si>
    <t>22101259</t>
  </si>
  <si>
    <t>Afnan Ahmed</t>
  </si>
  <si>
    <t>Wednesday</t>
  </si>
  <si>
    <t>afnan.ahmed@g.bracu.ac.bd</t>
  </si>
  <si>
    <t>01552305310</t>
  </si>
  <si>
    <t>Quiz2(10)</t>
  </si>
  <si>
    <t>Quiz3(15)</t>
  </si>
  <si>
    <t>Quiz4(20)</t>
  </si>
  <si>
    <t>Total quiz(20)</t>
  </si>
  <si>
    <t>Lecture 1</t>
  </si>
  <si>
    <t>Q1(6)</t>
  </si>
  <si>
    <t>Q2(6)</t>
  </si>
  <si>
    <t>Q3(7)</t>
  </si>
  <si>
    <t>Q4(6)</t>
  </si>
  <si>
    <t>23101015</t>
  </si>
  <si>
    <t>Saif Karim</t>
  </si>
  <si>
    <t>Midterm(25)</t>
  </si>
  <si>
    <t>Done</t>
  </si>
  <si>
    <t>saif.karim@g.bracu.ac.bd</t>
  </si>
  <si>
    <t>Midterm(20)</t>
  </si>
  <si>
    <t>01817738931</t>
  </si>
  <si>
    <t>Assignment1(50)</t>
  </si>
  <si>
    <t>Before Mid</t>
  </si>
  <si>
    <t>Assignment2(50)</t>
  </si>
  <si>
    <t>Assignment3(30)</t>
  </si>
  <si>
    <t>Assignment4(50)</t>
  </si>
  <si>
    <t>Total Assignment(5)</t>
  </si>
  <si>
    <t>Lab(25)</t>
  </si>
  <si>
    <t>23301344</t>
  </si>
  <si>
    <t>Abid Islam</t>
  </si>
  <si>
    <t>15Jun</t>
  </si>
  <si>
    <t>Total(70)</t>
  </si>
  <si>
    <t>Monday</t>
  </si>
  <si>
    <t>Q1(8)</t>
  </si>
  <si>
    <t>Lecture 2</t>
  </si>
  <si>
    <t>Q2(10)</t>
  </si>
  <si>
    <t>abid.islam1@g.bracu.ac.bd</t>
  </si>
  <si>
    <t>Q3(12)</t>
  </si>
  <si>
    <t>01960045107</t>
  </si>
  <si>
    <t>Q4(10)</t>
  </si>
  <si>
    <t>After Mid</t>
  </si>
  <si>
    <t>Final Exam(40)</t>
  </si>
  <si>
    <t>23301375</t>
  </si>
  <si>
    <t>Md Mahfuz Ur Rahman</t>
  </si>
  <si>
    <t>mahfuz.ur.rahman@g.bracu.ac.bd</t>
  </si>
  <si>
    <t>01963768678</t>
  </si>
  <si>
    <t>Final Exam(30)</t>
  </si>
  <si>
    <t>Total(100)</t>
  </si>
  <si>
    <t>Total Rounded(100)</t>
  </si>
  <si>
    <t>3a</t>
  </si>
  <si>
    <t>3b</t>
  </si>
  <si>
    <t>4a</t>
  </si>
  <si>
    <t>4b</t>
  </si>
  <si>
    <t>24101020</t>
  </si>
  <si>
    <t>17Jun</t>
  </si>
  <si>
    <t>Tasfiqul Islam Tarif</t>
  </si>
  <si>
    <t>CS</t>
  </si>
  <si>
    <t>tasfiqul.islam.tarif@g.bracu.ac.bd</t>
  </si>
  <si>
    <t>01401951605</t>
  </si>
  <si>
    <t>Lecture 3</t>
  </si>
  <si>
    <t>22Jun</t>
  </si>
  <si>
    <t xml:space="preserve">Lecture 4 (Substitution &amp; Tree Methods) </t>
  </si>
  <si>
    <t>24101092</t>
  </si>
  <si>
    <t>Sheikh Shihab Uddin</t>
  </si>
  <si>
    <t>sheikh.shihab.uddin@g.bracu.ac.bd</t>
  </si>
  <si>
    <t>24Jun</t>
  </si>
  <si>
    <t>01300559247</t>
  </si>
  <si>
    <t>Lecture 5</t>
  </si>
  <si>
    <t>29Jun</t>
  </si>
  <si>
    <t>Lecture 6, Lecture 7</t>
  </si>
  <si>
    <t>01 Jul</t>
  </si>
  <si>
    <t>24101212</t>
  </si>
  <si>
    <t>Muntasir Mahmud Mahi</t>
  </si>
  <si>
    <t>Lecture 8 (D &amp; C, Merge Sort &amp; Quick Sort)</t>
  </si>
  <si>
    <t>muntasir.mahmud.mahi@g.bracu.ac.bd</t>
  </si>
  <si>
    <t>01946557863</t>
  </si>
  <si>
    <t>06 Jul</t>
  </si>
  <si>
    <t>Lecture 4 (Master Method), Quiz 1</t>
  </si>
  <si>
    <t>08 Jul</t>
  </si>
  <si>
    <t>Lecture 8 (Max Sum Subarray)</t>
  </si>
  <si>
    <t>24101359</t>
  </si>
  <si>
    <t>Muhsina Islam Khan</t>
  </si>
  <si>
    <t>muhsina.islam.khan@g.bracu.ac.bd</t>
  </si>
  <si>
    <t>13 Jul</t>
  </si>
  <si>
    <t>01998961640</t>
  </si>
  <si>
    <t>Lecture 8 (Karatsuba)</t>
  </si>
  <si>
    <t>15 Jul</t>
  </si>
  <si>
    <t>Lecture 10</t>
  </si>
  <si>
    <t>20 Jul</t>
  </si>
  <si>
    <t>Lecture 11 (Traversal, Edge Classification &amp; Cycle Detection)</t>
  </si>
  <si>
    <t>24101412</t>
  </si>
  <si>
    <t>K M Raiyan Bin Jaman</t>
  </si>
  <si>
    <t>raiyan.bin.jaman@g.bracu.ac.bd</t>
  </si>
  <si>
    <t>01983620760</t>
  </si>
  <si>
    <t>22 Jul</t>
  </si>
  <si>
    <t>24101436</t>
  </si>
  <si>
    <t>Alif Elham</t>
  </si>
  <si>
    <t>alif.elham@g.bracu.ac.bd</t>
  </si>
  <si>
    <t>01842821352</t>
  </si>
  <si>
    <t>Quiz 2, Review</t>
  </si>
  <si>
    <t>24141066</t>
  </si>
  <si>
    <t>03 Aug</t>
  </si>
  <si>
    <t>Lamisa Binta Kabir</t>
  </si>
  <si>
    <t>lamisa.binta.kabir@g.bracu.ac.bd</t>
  </si>
  <si>
    <t>+8801980035659</t>
  </si>
  <si>
    <t>Lecture 11 (DAG, TopSort &amp; SCC)</t>
  </si>
  <si>
    <t>24141067</t>
  </si>
  <si>
    <t>Nusrat Meghla</t>
  </si>
  <si>
    <t>nusrat.meghla@g.bracu.ac.bd</t>
  </si>
  <si>
    <t>01719519576</t>
  </si>
  <si>
    <t>05 Aug</t>
  </si>
  <si>
    <t>Lecture 12</t>
  </si>
  <si>
    <t>24201018</t>
  </si>
  <si>
    <t>10 Aug</t>
  </si>
  <si>
    <t>Sadif Islam</t>
  </si>
  <si>
    <t>sadif.islam@g.bracu.ac.bd</t>
  </si>
  <si>
    <t>01741902221</t>
  </si>
  <si>
    <t xml:space="preserve">Lecture 13 </t>
  </si>
  <si>
    <t>12 Aug</t>
  </si>
  <si>
    <t>Lecture 14 (Greedy Property &amp; Interval Scheduling)</t>
  </si>
  <si>
    <t>17 Aug</t>
  </si>
  <si>
    <t>24201055</t>
  </si>
  <si>
    <t>Nobara Rajwan Nuha</t>
  </si>
  <si>
    <t>Lecture 14 (Huffman), Quiz 3</t>
  </si>
  <si>
    <t>nobara.rajwan.nuha@g.bracu.ac.bd</t>
  </si>
  <si>
    <t>Pending</t>
  </si>
  <si>
    <t>01644440059</t>
  </si>
  <si>
    <t>19 Aug</t>
  </si>
  <si>
    <t>Lecture 15 (LCS)</t>
  </si>
  <si>
    <t>24 Aug</t>
  </si>
  <si>
    <t>24201059</t>
  </si>
  <si>
    <t>Lecture 14, 15 (Fractional vs 0/1 Knapsack)</t>
  </si>
  <si>
    <t>Sadman Sakib Abesh</t>
  </si>
  <si>
    <t>sadman.sakib.abesh@g.bracu.ac.bd</t>
  </si>
  <si>
    <t>01559087532</t>
  </si>
  <si>
    <t>26 Aug</t>
  </si>
  <si>
    <t>Lecture 16</t>
  </si>
  <si>
    <t>31 Aug</t>
  </si>
  <si>
    <t>Quiz 4, Review</t>
  </si>
  <si>
    <t>24201080</t>
  </si>
  <si>
    <t>Jarin Ahmed</t>
  </si>
  <si>
    <t>02 sept</t>
  </si>
  <si>
    <t>jarin.ahmed@g.bracu.ac.bd</t>
  </si>
  <si>
    <t>01947116216</t>
  </si>
  <si>
    <t>24201153</t>
  </si>
  <si>
    <t>Abdullah Al Sadi</t>
  </si>
  <si>
    <t>abdullah.al.sadi@g.bracu.ac.bd</t>
  </si>
  <si>
    <t>01616746992</t>
  </si>
  <si>
    <t>-</t>
  </si>
  <si>
    <t>24201243</t>
  </si>
  <si>
    <t>Maimuna Tabassum</t>
  </si>
  <si>
    <t>maimuna.tabassum@g.bracu.ac.bd</t>
  </si>
  <si>
    <t>01796675394</t>
  </si>
  <si>
    <t>07 sept</t>
  </si>
  <si>
    <t>24201252</t>
  </si>
  <si>
    <t>Asma Akter Bonna</t>
  </si>
  <si>
    <t>asma.akter.bonna@g.bracu.ac.bd</t>
  </si>
  <si>
    <t>01770026968</t>
  </si>
  <si>
    <t>24201293</t>
  </si>
  <si>
    <t>Anchitarka Anirudha Das</t>
  </si>
  <si>
    <t>anchitarka.anirudha.das@g.bracu.ac.bd</t>
  </si>
  <si>
    <t>01712793134</t>
  </si>
  <si>
    <t>24201324</t>
  </si>
  <si>
    <t>Hridita Jasim Suzana</t>
  </si>
  <si>
    <t>hridita.jasim.suzana@g.bracu.ac.bd</t>
  </si>
  <si>
    <t>01848206168</t>
  </si>
  <si>
    <t>24201350</t>
  </si>
  <si>
    <t>Shithi Bosu</t>
  </si>
  <si>
    <t>shithi.bosu@g.bracu.ac.bd</t>
  </si>
  <si>
    <t>01620305403</t>
  </si>
  <si>
    <t>24201368</t>
  </si>
  <si>
    <t>Adnan Sadik Khan Taseen</t>
  </si>
  <si>
    <t>adnan.sadik.khan@g.bracu.ac.bd</t>
  </si>
  <si>
    <t>01320403724</t>
  </si>
  <si>
    <t>24201403</t>
  </si>
  <si>
    <t>Emtiaz Ahmed Siam</t>
  </si>
  <si>
    <t>emtiaz.ahmed.siam@g.bracu.ac.bd</t>
  </si>
  <si>
    <t>+8801319740049</t>
  </si>
  <si>
    <t>24201404</t>
  </si>
  <si>
    <t>Md Shadman Sakib Chowdhury</t>
  </si>
  <si>
    <t>shadman.sakib.chowdhury1@g.bracu.ac.bd</t>
  </si>
  <si>
    <t>01725705163</t>
  </si>
  <si>
    <t>24201423</t>
  </si>
  <si>
    <t>Md. Farhan Karim</t>
  </si>
  <si>
    <t>md.farhan.karim@g.bracu.ac.bd</t>
  </si>
  <si>
    <t>01711846904</t>
  </si>
  <si>
    <t>24201440</t>
  </si>
  <si>
    <t>S.M. Istiaque Haider</t>
  </si>
  <si>
    <t>sm.istiaque.haider@g.bracu.ac.bd</t>
  </si>
  <si>
    <t>01701350692</t>
  </si>
  <si>
    <t>24201452</t>
  </si>
  <si>
    <t>Komine Rion</t>
  </si>
  <si>
    <t>komine.rion@g.bracu.ac.bd</t>
  </si>
  <si>
    <t>01770400308</t>
  </si>
  <si>
    <t>24241003</t>
  </si>
  <si>
    <t>Feroj Mahmud Anonto</t>
  </si>
  <si>
    <t>feroj.mahmud.anonto@g.bracu.ac.bd</t>
  </si>
  <si>
    <t>01777923364</t>
  </si>
  <si>
    <t>24241013</t>
  </si>
  <si>
    <t>K.M.Shahtaj Zaman</t>
  </si>
  <si>
    <t>km.shahtaj.zaman@g.bracu.ac.bd</t>
  </si>
  <si>
    <t>01617438655</t>
  </si>
  <si>
    <t>24241033</t>
  </si>
  <si>
    <t>Leon Lawrance Baroi</t>
  </si>
  <si>
    <t>leon.lawrance.baroi@g.bracu.ac.bd</t>
  </si>
  <si>
    <t>01750871779</t>
  </si>
  <si>
    <t>24301567</t>
  </si>
  <si>
    <t>Shanel Akhter</t>
  </si>
  <si>
    <t>shanel.akhter@g.bracu.ac.bd</t>
  </si>
  <si>
    <t>01795779183</t>
  </si>
  <si>
    <t>24321230</t>
  </si>
  <si>
    <t>Abrar Ahmed</t>
  </si>
  <si>
    <t>abrar.ahmed5@g.bracu.ac.bd</t>
  </si>
  <si>
    <t>+8801632167745</t>
  </si>
  <si>
    <t>24321275</t>
  </si>
  <si>
    <t>Tahmid Al Islam</t>
  </si>
  <si>
    <t>tahmid.al.islam@g.bracu.ac.bd</t>
  </si>
  <si>
    <t>01600216963</t>
  </si>
  <si>
    <t>24321313</t>
  </si>
  <si>
    <t>Fariha Mahzabin Roshni</t>
  </si>
  <si>
    <t>fariha.mahzabin.roshni@g.bracu.ac.bd</t>
  </si>
  <si>
    <t>01758716933</t>
  </si>
  <si>
    <t>24341010</t>
  </si>
  <si>
    <t>Sheikh Arifin Ahmed</t>
  </si>
  <si>
    <t>sheikh.arifin.ahmed@g.bracu.ac.bd</t>
  </si>
  <si>
    <t>01311934100</t>
  </si>
  <si>
    <t>24341030</t>
  </si>
  <si>
    <t>Tausif Sharar Preom</t>
  </si>
  <si>
    <t>tausif.sharar.preom@g.bracu.ac.bd</t>
  </si>
  <si>
    <t>01954488206</t>
  </si>
  <si>
    <t>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</si>
</sst>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2">
    <font>
      <sz val="11.0"/>
      <color rgb="FF000000"/>
      <name val="Calibri"/>
      <scheme val="minor"/>
    </font>
    <font>
      <b/>
      <sz val="12.0"/>
      <color rgb="FF000000"/>
      <name val="Arial"/>
    </font>
    <font/>
    <font>
      <color theme="1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  <font>
      <sz val="10.0"/>
      <color rgb="FF000000"/>
      <name val="Arial"/>
    </font>
    <font>
      <b/>
      <sz val="12.0"/>
      <color theme="1"/>
      <name val="Cambria Math"/>
    </font>
    <font>
      <color theme="1"/>
      <name val="Arial"/>
    </font>
    <font>
      <sz val="12.0"/>
      <color theme="1"/>
      <name val="Cambria Math"/>
    </font>
    <font>
      <b/>
      <sz val="11.0"/>
      <color theme="1"/>
      <name val="Calibri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8BC34A"/>
        <bgColor rgb="FF8BC34A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EEF7E3"/>
        <bgColor rgb="FFEEF7E3"/>
      </patternFill>
    </fill>
    <fill>
      <patternFill patternType="solid">
        <fgColor rgb="FFFEF3C7"/>
        <bgColor rgb="FFFEF3C7"/>
      </patternFill>
    </fill>
    <fill>
      <patternFill patternType="solid">
        <fgColor rgb="FFFF0000"/>
        <bgColor rgb="FFFF0000"/>
      </patternFill>
    </fill>
    <fill>
      <patternFill patternType="solid">
        <fgColor rgb="FFFECACA"/>
        <bgColor rgb="FFFECACA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horizontal="center" readingOrder="0"/>
    </xf>
    <xf borderId="4" fillId="2" fontId="1" numFmtId="0" xfId="0" applyAlignment="1" applyBorder="1" applyFill="1" applyFont="1">
      <alignment horizontal="left" shrinkToFit="0" vertical="center" wrapText="0"/>
    </xf>
    <xf borderId="4" fillId="2" fontId="1" numFmtId="0" xfId="0" applyAlignment="1" applyBorder="1" applyFill="1" applyFont="1">
      <alignment horizontal="center" shrinkToFit="0" vertical="center" wrapText="0"/>
    </xf>
    <xf borderId="0" fillId="0" fontId="3" numFmtId="164" xfId="0" applyAlignment="1" applyFont="1" applyNumberFormat="1">
      <alignment readingOrder="0"/>
    </xf>
    <xf borderId="0" fillId="2" fontId="1" numFmtId="0" xfId="0" applyAlignment="1" applyFill="1" applyFont="1">
      <alignment horizontal="left" shrinkToFit="0" vertical="center" wrapText="0"/>
    </xf>
    <xf borderId="0" fillId="4" fontId="3" numFmtId="164" xfId="0" applyAlignment="1" applyFill="1" applyFont="1" applyNumberFormat="1">
      <alignment readingOrder="0"/>
    </xf>
    <xf borderId="0" fillId="2" fontId="1" numFmtId="0" xfId="0" applyAlignment="1" applyFill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wrapText="1"/>
    </xf>
    <xf borderId="4" fillId="2" fontId="6" numFmtId="49" xfId="0" applyAlignment="1" applyBorder="1" applyFill="1" applyFont="1" applyNumberFormat="1">
      <alignment horizontal="left" shrinkToFit="0" vertical="center" wrapText="0"/>
    </xf>
    <xf borderId="5" fillId="5" fontId="7" numFmtId="0" xfId="0" applyAlignment="1" applyBorder="1" applyFill="1" applyFont="1">
      <alignment vertical="bottom"/>
    </xf>
    <xf borderId="0" fillId="6" fontId="5" numFmtId="0" xfId="0" applyAlignment="1" applyFill="1" applyFont="1">
      <alignment horizontal="center" readingOrder="0" shrinkToFit="0" wrapText="1"/>
    </xf>
    <xf borderId="6" fillId="5" fontId="7" numFmtId="0" xfId="0" applyAlignment="1" applyBorder="1" applyFill="1" applyFont="1">
      <alignment vertical="bottom"/>
    </xf>
    <xf borderId="0" fillId="0" fontId="3" numFmtId="0" xfId="0" applyAlignment="1" applyFont="1">
      <alignment horizontal="center" readingOrder="0" shrinkToFit="0" wrapText="1"/>
    </xf>
    <xf borderId="4" fillId="2" fontId="6" numFmtId="49" xfId="0" applyAlignment="1" applyBorder="1" applyFill="1" applyFont="1" applyNumberFormat="1">
      <alignment horizontal="left" shrinkToFit="0" vertical="bottom" wrapText="0"/>
    </xf>
    <xf borderId="7" fillId="5" fontId="7" numFmtId="0" xfId="0" applyAlignment="1" applyBorder="1" applyFill="1" applyFont="1">
      <alignment vertical="bottom"/>
    </xf>
    <xf borderId="0" fillId="5" fontId="7" numFmtId="0" xfId="0" applyAlignment="1" applyFill="1" applyFont="1">
      <alignment vertical="bottom"/>
    </xf>
    <xf borderId="4" fillId="0" fontId="3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4" fillId="7" fontId="3" numFmtId="0" xfId="0" applyAlignment="1" applyBorder="1" applyFill="1" applyFont="1">
      <alignment horizontal="center" readingOrder="0"/>
    </xf>
    <xf borderId="8" fillId="8" fontId="5" numFmtId="0" xfId="0" applyAlignment="1" applyBorder="1" applyFill="1" applyFont="1">
      <alignment horizontal="center" readingOrder="0" shrinkToFit="0" wrapText="1"/>
    </xf>
    <xf borderId="8" fillId="0" fontId="7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4" fillId="8" fontId="3" numFmtId="0" xfId="0" applyAlignment="1" applyBorder="1" applyFill="1" applyFont="1">
      <alignment horizontal="center" shrinkToFit="0" wrapText="1"/>
    </xf>
    <xf borderId="11" fillId="2" fontId="9" numFmtId="49" xfId="0" applyAlignment="1" applyBorder="1" applyFill="1" applyFont="1" applyNumberFormat="1">
      <alignment readingOrder="0" vertical="top"/>
    </xf>
    <xf borderId="0" fillId="0" fontId="3" numFmtId="0" xfId="0" applyFont="1"/>
    <xf borderId="4" fillId="7" fontId="5" numFmtId="0" xfId="0" applyAlignment="1" applyBorder="1" applyFill="1" applyFont="1">
      <alignment horizontal="center" readingOrder="0" shrinkToFit="0" wrapText="1"/>
    </xf>
    <xf borderId="4" fillId="0" fontId="9" numFmtId="0" xfId="0" applyAlignment="1" applyBorder="1" applyFont="1">
      <alignment readingOrder="0" vertical="top"/>
    </xf>
    <xf borderId="4" fillId="3" fontId="5" numFmtId="0" xfId="0" applyAlignment="1" applyBorder="1" applyFill="1" applyFont="1">
      <alignment horizontal="center" readingOrder="0" shrinkToFit="0" wrapText="1"/>
    </xf>
    <xf borderId="12" fillId="2" fontId="9" numFmtId="0" xfId="0" applyAlignment="1" applyBorder="1" applyFill="1" applyFont="1">
      <alignment shrinkToFit="0" vertical="top" wrapText="1"/>
    </xf>
    <xf borderId="0" fillId="2" fontId="9" numFmtId="0" xfId="0" applyAlignment="1" applyFill="1" applyFont="1">
      <alignment readingOrder="0" shrinkToFit="0" vertical="top" wrapText="1"/>
    </xf>
    <xf borderId="4" fillId="9" fontId="5" numFmtId="0" xfId="0" applyAlignment="1" applyBorder="1" applyFill="1" applyFont="1">
      <alignment horizontal="center" readingOrder="0" shrinkToFit="0" wrapText="1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readingOrder="0" shrinkToFit="0" wrapText="1"/>
    </xf>
    <xf borderId="11" fillId="11" fontId="9" numFmtId="49" xfId="0" applyAlignment="1" applyBorder="1" applyFill="1" applyFont="1" applyNumberFormat="1">
      <alignment readingOrder="0" vertical="top"/>
    </xf>
    <xf borderId="4" fillId="8" fontId="5" numFmtId="0" xfId="0" applyAlignment="1" applyBorder="1" applyFill="1" applyFont="1">
      <alignment horizontal="center" readingOrder="0" shrinkToFit="0" vertical="center" wrapText="1"/>
    </xf>
    <xf borderId="12" fillId="11" fontId="9" numFmtId="0" xfId="0" applyAlignment="1" applyBorder="1" applyFill="1" applyFont="1">
      <alignment shrinkToFit="0" vertical="top" wrapText="1"/>
    </xf>
    <xf borderId="4" fillId="8" fontId="10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vertical="top"/>
    </xf>
    <xf borderId="4" fillId="8" fontId="10" numFmtId="0" xfId="0" applyAlignment="1" applyBorder="1" applyFill="1" applyFont="1">
      <alignment horizontal="center" shrinkToFit="0" wrapText="1"/>
    </xf>
    <xf borderId="4" fillId="0" fontId="7" numFmtId="0" xfId="0" applyAlignment="1" applyBorder="1" applyFont="1">
      <alignment horizontal="center" readingOrder="0" shrinkToFit="0" vertical="top" wrapText="1"/>
    </xf>
    <xf borderId="4" fillId="2" fontId="6" numFmtId="49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vertical="top"/>
    </xf>
    <xf borderId="4" fillId="7" fontId="3" numFmtId="0" xfId="0" applyAlignment="1" applyBorder="1" applyFill="1" applyFont="1">
      <alignment horizontal="center" readingOrder="0" shrinkToFit="0" wrapText="1"/>
    </xf>
    <xf borderId="13" fillId="2" fontId="9" numFmtId="49" xfId="0" applyAlignment="1" applyBorder="1" applyFill="1" applyFont="1" applyNumberFormat="1">
      <alignment readingOrder="0" vertical="top"/>
    </xf>
    <xf borderId="14" fillId="0" fontId="9" numFmtId="0" xfId="0" applyAlignment="1" applyBorder="1" applyFont="1">
      <alignment readingOrder="0" vertical="top"/>
    </xf>
    <xf borderId="15" fillId="2" fontId="9" numFmtId="0" xfId="0" applyAlignment="1" applyBorder="1" applyFill="1" applyFont="1">
      <alignment shrinkToFit="0" vertical="top" wrapText="1"/>
    </xf>
    <xf borderId="5" fillId="11" fontId="9" numFmtId="49" xfId="0" applyAlignment="1" applyBorder="1" applyFill="1" applyFont="1" applyNumberFormat="1">
      <alignment readingOrder="0" vertical="top"/>
    </xf>
    <xf borderId="6" fillId="0" fontId="9" numFmtId="0" xfId="0" applyAlignment="1" applyBorder="1" applyFont="1">
      <alignment readingOrder="0" vertical="top"/>
    </xf>
    <xf borderId="7" fillId="11" fontId="9" numFmtId="0" xfId="0" applyAlignment="1" applyBorder="1" applyFill="1" applyFont="1">
      <alignment shrinkToFit="0" vertical="top" wrapText="1"/>
    </xf>
    <xf borderId="16" fillId="0" fontId="9" numFmtId="0" xfId="0" applyAlignment="1" applyBorder="1" applyFont="1">
      <alignment readingOrder="0" vertical="top"/>
    </xf>
    <xf borderId="17" fillId="2" fontId="9" numFmtId="0" xfId="0" applyAlignment="1" applyBorder="1" applyFill="1" applyFont="1">
      <alignment horizontal="center" shrinkToFit="0" vertical="top" wrapText="1"/>
    </xf>
    <xf borderId="0" fillId="2" fontId="9" numFmtId="0" xfId="0" applyAlignment="1" applyFill="1" applyFont="1">
      <alignment horizontal="center" shrinkToFit="0" vertical="top" wrapText="1"/>
    </xf>
    <xf borderId="4" fillId="3" fontId="3" numFmtId="0" xfId="0" applyAlignment="1" applyBorder="1" applyFill="1" applyFont="1">
      <alignment horizontal="center" readingOrder="0" shrinkToFit="0" wrapText="1"/>
    </xf>
    <xf borderId="4" fillId="3" fontId="3" numFmtId="0" xfId="0" applyAlignment="1" applyBorder="1" applyFill="1" applyFont="1">
      <alignment horizontal="center" shrinkToFit="0" wrapText="1"/>
    </xf>
    <xf borderId="4" fillId="9" fontId="3" numFmtId="0" xfId="0" applyAlignment="1" applyBorder="1" applyFill="1" applyFont="1">
      <alignment horizontal="center" readingOrder="0" shrinkToFit="0" wrapText="1"/>
    </xf>
    <xf borderId="4" fillId="9" fontId="3" numFmtId="0" xfId="0" applyAlignment="1" applyBorder="1" applyFill="1" applyFont="1">
      <alignment horizontal="center" shrinkToFit="0" wrapText="1"/>
    </xf>
    <xf borderId="4" fillId="12" fontId="10" numFmtId="0" xfId="0" applyAlignment="1" applyBorder="1" applyFill="1" applyFont="1">
      <alignment horizontal="center" readingOrder="0" shrinkToFit="0" vertical="bottom" wrapText="1"/>
    </xf>
    <xf borderId="4" fillId="8" fontId="3" numFmtId="0" xfId="0" applyAlignment="1" applyBorder="1" applyFill="1" applyFont="1">
      <alignment horizontal="center" shrinkToFit="0" vertical="center" wrapText="1"/>
    </xf>
    <xf borderId="18" fillId="2" fontId="8" numFmtId="0" xfId="0" applyAlignment="1" applyBorder="1" applyFill="1" applyFont="1">
      <alignment horizontal="center" readingOrder="0" textRotation="0" vertical="bottom"/>
    </xf>
    <xf borderId="0" fillId="2" fontId="3" numFmtId="0" xfId="0" applyFill="1" applyFont="1"/>
    <xf borderId="4" fillId="2" fontId="6" numFmtId="49" xfId="0" applyAlignment="1" applyBorder="1" applyFill="1" applyFont="1" applyNumberForma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0" fillId="0" fontId="11" numFmtId="49" xfId="0" applyAlignment="1" applyFont="1" applyNumberFormat="1">
      <alignment horizontal="left" shrinkToFit="0" vertical="bottom" wrapText="0"/>
    </xf>
    <xf borderId="0" fillId="2" fontId="8" numFmtId="0" xfId="0" applyAlignment="1" applyFill="1" applyFont="1">
      <alignment horizontal="center" readingOrder="0" textRotation="0" vertical="bottom"/>
    </xf>
    <xf borderId="4" fillId="13" fontId="6" numFmtId="49" xfId="0" applyAlignment="1" applyBorder="1" applyFill="1" applyFont="1" applyNumberFormat="1">
      <alignment horizontal="center" shrinkToFit="0" vertical="bottom" wrapText="0"/>
    </xf>
    <xf borderId="4" fillId="13" fontId="6" numFmtId="49" xfId="0" applyAlignment="1" applyBorder="1" applyFill="1" applyFont="1" applyNumberFormat="1">
      <alignment horizontal="left" shrinkToFit="0" vertical="bottom" wrapText="0"/>
    </xf>
    <xf borderId="4" fillId="13" fontId="3" numFmtId="0" xfId="0" applyAlignment="1" applyBorder="1" applyFill="1" applyFont="1">
      <alignment horizontal="center" readingOrder="0" shrinkToFit="0" wrapText="1"/>
    </xf>
    <xf borderId="4" fillId="13" fontId="3" numFmtId="0" xfId="0" applyAlignment="1" applyBorder="1" applyFill="1" applyFont="1">
      <alignment horizontal="center" shrinkToFit="0" wrapText="1"/>
    </xf>
    <xf borderId="4" fillId="13" fontId="10" numFmtId="0" xfId="0" applyAlignment="1" applyBorder="1" applyFill="1" applyFont="1">
      <alignment horizontal="center" readingOrder="0" shrinkToFit="0" vertical="bottom" wrapText="1"/>
    </xf>
    <xf borderId="4" fillId="13" fontId="3" numFmtId="0" xfId="0" applyAlignment="1" applyBorder="1" applyFill="1" applyFont="1">
      <alignment horizontal="center" shrinkToFit="0" vertical="center" wrapText="1"/>
    </xf>
    <xf borderId="0" fillId="13" fontId="3" numFmtId="0" xfId="0" applyAlignment="1" applyFill="1" applyFont="1">
      <alignment readingOrder="0"/>
    </xf>
    <xf borderId="4" fillId="8" fontId="3" numFmtId="0" xfId="0" applyAlignment="1" applyBorder="1" applyFill="1" applyFont="1">
      <alignment horizontal="center" readingOrder="0" shrinkToFit="0" wrapText="1"/>
    </xf>
    <xf borderId="0" fillId="2" fontId="3" numFmtId="0" xfId="0" applyAlignment="1" applyFill="1" applyFont="1">
      <alignment readingOrder="0"/>
    </xf>
    <xf borderId="4" fillId="14" fontId="10" numFmtId="0" xfId="0" applyAlignment="1" applyBorder="1" applyFill="1" applyFont="1">
      <alignment horizontal="center" readingOrder="0" shrinkToFit="0" vertical="bottom" wrapText="1"/>
    </xf>
    <xf borderId="4" fillId="7" fontId="3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2" pivot="0" name="Marks-style">
      <tableStyleElement dxfId="1" type="firstRowStripe"/>
      <tableStyleElement dxfId="3" type="secondRowStripe"/>
    </tableStyle>
    <tableStyle count="3" pivot="0" name="Class Schedule-style">
      <tableStyleElement dxfId="2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D3:AG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ark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24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lass Schedu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0.43"/>
    <col customWidth="1" min="14" max="14" width="12.0"/>
    <col customWidth="1" min="15" max="15" width="11.86"/>
    <col customWidth="1" min="16" max="17" width="11.43"/>
  </cols>
  <sheetData>
    <row r="1">
      <c r="A1" s="11"/>
      <c r="B1" s="13"/>
      <c r="C1" s="14"/>
      <c r="D1" s="14"/>
      <c r="E1" s="14"/>
      <c r="F1" s="14"/>
      <c r="G1" s="17"/>
      <c r="H1" s="17" t="s">
        <v>8</v>
      </c>
      <c r="N1" s="19"/>
      <c r="O1" s="19"/>
      <c r="P1" s="19"/>
      <c r="Q1" s="19"/>
      <c r="R1" s="19"/>
      <c r="S1" s="19"/>
      <c r="T1" s="19"/>
      <c r="U1" s="26" t="s">
        <v>28</v>
      </c>
      <c r="V1" s="28"/>
      <c r="W1" s="28"/>
      <c r="X1" s="28"/>
      <c r="Y1" s="28"/>
      <c r="Z1" s="29"/>
      <c r="AA1" s="30"/>
      <c r="AD1" s="32">
        <v>4.0</v>
      </c>
      <c r="AE1" s="32">
        <v>3.0</v>
      </c>
      <c r="AF1" s="32">
        <v>2.0</v>
      </c>
      <c r="AG1" s="32">
        <v>4.0</v>
      </c>
    </row>
    <row r="2">
      <c r="A2" s="8" t="s">
        <v>12</v>
      </c>
      <c r="B2" s="9" t="s">
        <v>13</v>
      </c>
      <c r="C2" s="33" t="s">
        <v>31</v>
      </c>
      <c r="D2" s="33" t="s">
        <v>37</v>
      </c>
      <c r="E2" s="33" t="s">
        <v>38</v>
      </c>
      <c r="F2" s="33" t="s">
        <v>39</v>
      </c>
      <c r="G2" s="35" t="s">
        <v>40</v>
      </c>
      <c r="H2" s="35" t="s">
        <v>42</v>
      </c>
      <c r="I2" s="35" t="s">
        <v>43</v>
      </c>
      <c r="J2" s="35" t="s">
        <v>44</v>
      </c>
      <c r="K2" s="35" t="s">
        <v>45</v>
      </c>
      <c r="L2" s="35" t="s">
        <v>48</v>
      </c>
      <c r="M2" s="35" t="s">
        <v>51</v>
      </c>
      <c r="N2" s="38" t="s">
        <v>53</v>
      </c>
      <c r="O2" s="38" t="s">
        <v>55</v>
      </c>
      <c r="P2" s="38" t="s">
        <v>56</v>
      </c>
      <c r="Q2" s="38" t="s">
        <v>57</v>
      </c>
      <c r="R2" s="38" t="s">
        <v>58</v>
      </c>
      <c r="S2" s="41" t="s">
        <v>59</v>
      </c>
      <c r="T2" s="43" t="s">
        <v>63</v>
      </c>
      <c r="U2" s="43" t="s">
        <v>65</v>
      </c>
      <c r="V2" s="43" t="s">
        <v>67</v>
      </c>
      <c r="W2" s="43" t="s">
        <v>69</v>
      </c>
      <c r="X2" s="45" t="s">
        <v>71</v>
      </c>
      <c r="Y2" s="47" t="s">
        <v>73</v>
      </c>
      <c r="Z2" s="47" t="s">
        <v>78</v>
      </c>
      <c r="AA2" s="43" t="s">
        <v>79</v>
      </c>
      <c r="AB2" s="43" t="s">
        <v>80</v>
      </c>
      <c r="AD2" s="32" t="s">
        <v>81</v>
      </c>
      <c r="AE2" s="32" t="s">
        <v>82</v>
      </c>
      <c r="AF2" s="32" t="s">
        <v>83</v>
      </c>
      <c r="AG2" s="32" t="s">
        <v>84</v>
      </c>
    </row>
    <row r="3">
      <c r="A3" s="49" t="s">
        <v>21</v>
      </c>
      <c r="B3" s="20" t="s">
        <v>22</v>
      </c>
      <c r="C3" s="51">
        <v>0.0</v>
      </c>
      <c r="D3" s="51">
        <v>0.0</v>
      </c>
      <c r="E3" s="51">
        <v>0.0</v>
      </c>
      <c r="F3" s="51">
        <v>5.0</v>
      </c>
      <c r="G3" s="61">
        <f t="shared" ref="G3:G40" si="1"> ROUND(AVERAGE(LARGE({C3/10*20, D3/10*20, E3/15*20, F3}, 1), LARGE({C3/10*20, D3/10*20, E3/15*20, F3}, 2),LARGE({C3/10*20, D3/10*20, E3/15*20, F3}, 3)),3)</f>
        <v>1.667</v>
      </c>
      <c r="H3" s="61">
        <v>1.5</v>
      </c>
      <c r="I3" s="61">
        <v>1.0</v>
      </c>
      <c r="J3" s="61">
        <v>0.0</v>
      </c>
      <c r="K3" s="61">
        <v>0.0</v>
      </c>
      <c r="L3" s="62">
        <f t="shared" ref="L3:L23" si="2">sum(H3:K3)</f>
        <v>2.5</v>
      </c>
      <c r="M3" s="62">
        <f t="shared" ref="M3:M40" si="3">L3*(20/25)</f>
        <v>2</v>
      </c>
      <c r="N3" s="63">
        <v>30.0</v>
      </c>
      <c r="O3" s="63">
        <v>0.0</v>
      </c>
      <c r="P3" s="63">
        <v>0.0</v>
      </c>
      <c r="Q3" s="63">
        <v>0.0</v>
      </c>
      <c r="R3" s="64">
        <f t="shared" ref="R3:R40" si="4">ROUND(AVERAGE(N3/50*5,O3/50*5,P3/30*5,Q3/50*5),2)</f>
        <v>0.75</v>
      </c>
      <c r="S3" s="65">
        <v>4.537037037</v>
      </c>
      <c r="T3" s="30">
        <f t="shared" ref="T3:T40" si="5">ROUND(SUM(G3,M3,R3,S3),2)</f>
        <v>8.95</v>
      </c>
      <c r="U3" s="30"/>
      <c r="V3" s="30"/>
      <c r="W3" s="30"/>
      <c r="X3" s="30"/>
      <c r="Y3" s="30">
        <f t="shared" ref="Y3:Y40" si="6">SUM(U3:X3)</f>
        <v>0</v>
      </c>
      <c r="Z3" s="30">
        <f t="shared" ref="Z3:Z40" si="7">Y3*(30/40)</f>
        <v>0</v>
      </c>
      <c r="AA3" s="30">
        <f t="shared" ref="AA3:AA40" si="8">SUM(T3+Z3)</f>
        <v>8.95</v>
      </c>
      <c r="AB3" s="66">
        <f t="shared" ref="AB3:AB40" si="9">ROUND(AA3,0)</f>
        <v>9</v>
      </c>
      <c r="AD3" s="67">
        <v>0.0</v>
      </c>
      <c r="AE3" s="67">
        <v>0.0</v>
      </c>
      <c r="AF3" s="67">
        <v>0.0</v>
      </c>
      <c r="AG3" s="67">
        <v>0.0</v>
      </c>
      <c r="AH3" s="68"/>
    </row>
    <row r="4">
      <c r="A4" s="69" t="s">
        <v>32</v>
      </c>
      <c r="B4" s="20" t="s">
        <v>33</v>
      </c>
      <c r="C4" s="51">
        <v>9.0</v>
      </c>
      <c r="D4" s="51">
        <v>0.0</v>
      </c>
      <c r="E4" s="51">
        <v>3.75</v>
      </c>
      <c r="F4" s="51">
        <v>13.5</v>
      </c>
      <c r="G4" s="61">
        <f t="shared" si="1"/>
        <v>12.167</v>
      </c>
      <c r="H4" s="61">
        <v>4.0</v>
      </c>
      <c r="I4" s="61">
        <v>3.0</v>
      </c>
      <c r="J4" s="61">
        <v>5.5</v>
      </c>
      <c r="K4" s="61">
        <v>0.0</v>
      </c>
      <c r="L4" s="62">
        <f t="shared" si="2"/>
        <v>12.5</v>
      </c>
      <c r="M4" s="62">
        <f t="shared" si="3"/>
        <v>10</v>
      </c>
      <c r="N4" s="63">
        <v>50.0</v>
      </c>
      <c r="O4" s="63">
        <v>0.0</v>
      </c>
      <c r="P4" s="63">
        <v>25.0</v>
      </c>
      <c r="Q4" s="63">
        <v>50.0</v>
      </c>
      <c r="R4" s="64">
        <f t="shared" si="4"/>
        <v>3.54</v>
      </c>
      <c r="S4" s="65">
        <v>6.5</v>
      </c>
      <c r="T4" s="30">
        <f t="shared" si="5"/>
        <v>32.21</v>
      </c>
      <c r="U4" s="30"/>
      <c r="V4" s="30"/>
      <c r="W4" s="30"/>
      <c r="X4" s="30"/>
      <c r="Y4" s="30">
        <f t="shared" si="6"/>
        <v>0</v>
      </c>
      <c r="Z4" s="30">
        <f t="shared" si="7"/>
        <v>0</v>
      </c>
      <c r="AA4" s="30">
        <f t="shared" si="8"/>
        <v>32.21</v>
      </c>
      <c r="AB4" s="66">
        <f t="shared" si="9"/>
        <v>32</v>
      </c>
      <c r="AD4" s="72">
        <v>4.0</v>
      </c>
      <c r="AE4" s="72">
        <v>1.5</v>
      </c>
      <c r="AF4" s="72">
        <v>0.0</v>
      </c>
      <c r="AG4" s="72">
        <v>0.0</v>
      </c>
      <c r="AH4" s="68"/>
    </row>
    <row r="5">
      <c r="A5" s="73" t="s">
        <v>46</v>
      </c>
      <c r="B5" s="74" t="s">
        <v>47</v>
      </c>
      <c r="C5" s="75">
        <v>0.0</v>
      </c>
      <c r="D5" s="75">
        <v>0.0</v>
      </c>
      <c r="E5" s="75">
        <v>0.0</v>
      </c>
      <c r="F5" s="75">
        <v>0.0</v>
      </c>
      <c r="G5" s="61">
        <f t="shared" si="1"/>
        <v>0</v>
      </c>
      <c r="H5" s="76"/>
      <c r="I5" s="76"/>
      <c r="J5" s="76"/>
      <c r="K5" s="76"/>
      <c r="L5" s="76">
        <f t="shared" si="2"/>
        <v>0</v>
      </c>
      <c r="M5" s="76">
        <f t="shared" si="3"/>
        <v>0</v>
      </c>
      <c r="N5" s="75">
        <v>50.0</v>
      </c>
      <c r="O5" s="75">
        <v>0.0</v>
      </c>
      <c r="P5" s="75">
        <v>0.0</v>
      </c>
      <c r="Q5" s="75">
        <v>0.0</v>
      </c>
      <c r="R5" s="76">
        <f t="shared" si="4"/>
        <v>1.25</v>
      </c>
      <c r="S5" s="77">
        <v>2.777777778</v>
      </c>
      <c r="T5" s="76">
        <f t="shared" si="5"/>
        <v>4.03</v>
      </c>
      <c r="U5" s="76"/>
      <c r="V5" s="76"/>
      <c r="W5" s="76"/>
      <c r="X5" s="76"/>
      <c r="Y5" s="76">
        <f t="shared" si="6"/>
        <v>0</v>
      </c>
      <c r="Z5" s="76">
        <f t="shared" si="7"/>
        <v>0</v>
      </c>
      <c r="AA5" s="76">
        <f t="shared" si="8"/>
        <v>4.03</v>
      </c>
      <c r="AB5" s="78">
        <f t="shared" si="9"/>
        <v>4</v>
      </c>
      <c r="AC5" s="79" t="s">
        <v>262</v>
      </c>
      <c r="AD5" s="68"/>
      <c r="AE5" s="68"/>
      <c r="AF5" s="68"/>
      <c r="AG5" s="68"/>
      <c r="AH5" s="68"/>
    </row>
    <row r="6">
      <c r="A6" s="69" t="s">
        <v>60</v>
      </c>
      <c r="B6" s="20" t="s">
        <v>61</v>
      </c>
      <c r="C6" s="51">
        <v>7.5</v>
      </c>
      <c r="D6" s="51">
        <v>8.0</v>
      </c>
      <c r="E6" s="51">
        <v>12.0</v>
      </c>
      <c r="F6" s="51">
        <v>11.0</v>
      </c>
      <c r="G6" s="61">
        <f t="shared" si="1"/>
        <v>15.667</v>
      </c>
      <c r="H6" s="61">
        <v>4.0</v>
      </c>
      <c r="I6" s="61">
        <v>2.0</v>
      </c>
      <c r="J6" s="61">
        <v>5.5</v>
      </c>
      <c r="K6" s="61">
        <v>3.0</v>
      </c>
      <c r="L6" s="62">
        <f t="shared" si="2"/>
        <v>14.5</v>
      </c>
      <c r="M6" s="62">
        <f t="shared" si="3"/>
        <v>11.6</v>
      </c>
      <c r="N6" s="63">
        <v>50.0</v>
      </c>
      <c r="O6" s="63">
        <v>50.0</v>
      </c>
      <c r="P6" s="63">
        <v>30.0</v>
      </c>
      <c r="Q6" s="63">
        <v>50.0</v>
      </c>
      <c r="R6" s="64">
        <f t="shared" si="4"/>
        <v>5</v>
      </c>
      <c r="S6" s="65">
        <v>5.944444444</v>
      </c>
      <c r="T6" s="30">
        <f t="shared" si="5"/>
        <v>38.21</v>
      </c>
      <c r="U6" s="80">
        <v>5.0</v>
      </c>
      <c r="V6" s="80">
        <v>4.0</v>
      </c>
      <c r="W6" s="80">
        <v>11.5</v>
      </c>
      <c r="X6" s="80">
        <v>3.5</v>
      </c>
      <c r="Y6" s="30">
        <f t="shared" si="6"/>
        <v>24</v>
      </c>
      <c r="Z6" s="30">
        <f t="shared" si="7"/>
        <v>18</v>
      </c>
      <c r="AA6" s="30">
        <f t="shared" si="8"/>
        <v>56.21</v>
      </c>
      <c r="AB6" s="66">
        <f t="shared" si="9"/>
        <v>56</v>
      </c>
      <c r="AD6" s="81">
        <v>3.5</v>
      </c>
      <c r="AE6" s="81">
        <v>2.0</v>
      </c>
      <c r="AF6" s="81">
        <v>2.0</v>
      </c>
      <c r="AG6" s="81">
        <v>1.0</v>
      </c>
      <c r="AH6" s="68"/>
    </row>
    <row r="7">
      <c r="A7" s="69" t="s">
        <v>74</v>
      </c>
      <c r="B7" s="20" t="s">
        <v>75</v>
      </c>
      <c r="C7" s="51">
        <v>9.0</v>
      </c>
      <c r="D7" s="51">
        <v>9.0</v>
      </c>
      <c r="E7" s="51">
        <v>5.0</v>
      </c>
      <c r="F7" s="51">
        <v>14.0</v>
      </c>
      <c r="G7" s="61">
        <f t="shared" si="1"/>
        <v>16.667</v>
      </c>
      <c r="H7" s="61">
        <v>6.0</v>
      </c>
      <c r="I7" s="61">
        <v>0.0</v>
      </c>
      <c r="J7" s="61">
        <v>5.0</v>
      </c>
      <c r="K7" s="61">
        <v>0.0</v>
      </c>
      <c r="L7" s="62">
        <f t="shared" si="2"/>
        <v>11</v>
      </c>
      <c r="M7" s="62">
        <f t="shared" si="3"/>
        <v>8.8</v>
      </c>
      <c r="N7" s="63">
        <v>50.0</v>
      </c>
      <c r="O7" s="63">
        <v>50.0</v>
      </c>
      <c r="P7" s="63">
        <v>20.0</v>
      </c>
      <c r="Q7" s="63">
        <v>50.0</v>
      </c>
      <c r="R7" s="64">
        <f t="shared" si="4"/>
        <v>4.58</v>
      </c>
      <c r="S7" s="65">
        <v>18.0</v>
      </c>
      <c r="T7" s="30">
        <f t="shared" si="5"/>
        <v>48.05</v>
      </c>
      <c r="U7" s="80">
        <v>2.5</v>
      </c>
      <c r="V7" s="80">
        <v>2.0</v>
      </c>
      <c r="W7" s="80">
        <v>11.0</v>
      </c>
      <c r="X7" s="80">
        <v>0.0</v>
      </c>
      <c r="Y7" s="30">
        <f t="shared" si="6"/>
        <v>15.5</v>
      </c>
      <c r="Z7" s="30">
        <f t="shared" si="7"/>
        <v>11.625</v>
      </c>
      <c r="AA7" s="30">
        <f t="shared" si="8"/>
        <v>59.675</v>
      </c>
      <c r="AB7" s="66">
        <f t="shared" si="9"/>
        <v>60</v>
      </c>
      <c r="AD7" s="81">
        <v>3.5</v>
      </c>
      <c r="AE7" s="81">
        <v>1.5</v>
      </c>
      <c r="AF7" s="81">
        <v>0.0</v>
      </c>
      <c r="AG7" s="81">
        <v>0.0</v>
      </c>
      <c r="AH7" s="68"/>
    </row>
    <row r="8">
      <c r="A8" s="69" t="s">
        <v>85</v>
      </c>
      <c r="B8" s="20" t="s">
        <v>87</v>
      </c>
      <c r="C8" s="51">
        <v>0.0</v>
      </c>
      <c r="D8" s="51">
        <v>0.0</v>
      </c>
      <c r="E8" s="51">
        <v>0.0</v>
      </c>
      <c r="F8" s="51">
        <v>0.0</v>
      </c>
      <c r="G8" s="61">
        <f t="shared" si="1"/>
        <v>0</v>
      </c>
      <c r="H8" s="61">
        <v>1.5</v>
      </c>
      <c r="I8" s="61">
        <v>0.0</v>
      </c>
      <c r="J8" s="61">
        <v>3.0</v>
      </c>
      <c r="K8" s="61">
        <v>4.5</v>
      </c>
      <c r="L8" s="62">
        <f t="shared" si="2"/>
        <v>9</v>
      </c>
      <c r="M8" s="62">
        <f t="shared" si="3"/>
        <v>7.2</v>
      </c>
      <c r="N8" s="63">
        <v>50.0</v>
      </c>
      <c r="O8" s="63">
        <v>50.0</v>
      </c>
      <c r="P8" s="63">
        <v>0.0</v>
      </c>
      <c r="Q8" s="63">
        <v>0.0</v>
      </c>
      <c r="R8" s="64">
        <f t="shared" si="4"/>
        <v>2.5</v>
      </c>
      <c r="S8" s="82">
        <v>0.0</v>
      </c>
      <c r="T8" s="30">
        <f t="shared" si="5"/>
        <v>9.7</v>
      </c>
      <c r="U8" s="30"/>
      <c r="V8" s="30"/>
      <c r="W8" s="30"/>
      <c r="X8" s="30"/>
      <c r="Y8" s="30">
        <f t="shared" si="6"/>
        <v>0</v>
      </c>
      <c r="Z8" s="30">
        <f t="shared" si="7"/>
        <v>0</v>
      </c>
      <c r="AA8" s="30">
        <f t="shared" si="8"/>
        <v>9.7</v>
      </c>
      <c r="AB8" s="66">
        <f t="shared" si="9"/>
        <v>10</v>
      </c>
      <c r="AD8" s="81">
        <v>1.5</v>
      </c>
      <c r="AE8" s="81">
        <v>1.5</v>
      </c>
      <c r="AF8" s="81">
        <v>2.0</v>
      </c>
      <c r="AG8" s="81">
        <v>2.5</v>
      </c>
      <c r="AH8" s="68"/>
    </row>
    <row r="9">
      <c r="A9" s="69" t="s">
        <v>94</v>
      </c>
      <c r="B9" s="20" t="s">
        <v>95</v>
      </c>
      <c r="C9" s="51">
        <v>10.0</v>
      </c>
      <c r="D9" s="51">
        <v>9.0</v>
      </c>
      <c r="E9" s="51">
        <v>0.0</v>
      </c>
      <c r="F9" s="51">
        <v>0.0</v>
      </c>
      <c r="G9" s="61">
        <f t="shared" si="1"/>
        <v>12.667</v>
      </c>
      <c r="H9" s="61">
        <v>4.0</v>
      </c>
      <c r="I9" s="61">
        <v>0.0</v>
      </c>
      <c r="J9" s="61">
        <v>0.0</v>
      </c>
      <c r="K9" s="61">
        <v>5.0</v>
      </c>
      <c r="L9" s="62">
        <f t="shared" si="2"/>
        <v>9</v>
      </c>
      <c r="M9" s="62">
        <f t="shared" si="3"/>
        <v>7.2</v>
      </c>
      <c r="N9" s="63">
        <v>40.0</v>
      </c>
      <c r="O9" s="63">
        <v>50.0</v>
      </c>
      <c r="P9" s="63">
        <v>0.0</v>
      </c>
      <c r="Q9" s="63">
        <v>0.0</v>
      </c>
      <c r="R9" s="64">
        <f t="shared" si="4"/>
        <v>2.25</v>
      </c>
      <c r="S9" s="65">
        <v>3.981481481</v>
      </c>
      <c r="T9" s="30">
        <f t="shared" si="5"/>
        <v>26.1</v>
      </c>
      <c r="U9" s="30"/>
      <c r="V9" s="30"/>
      <c r="W9" s="30"/>
      <c r="X9" s="30"/>
      <c r="Y9" s="30">
        <f t="shared" si="6"/>
        <v>0</v>
      </c>
      <c r="Z9" s="30">
        <f t="shared" si="7"/>
        <v>0</v>
      </c>
      <c r="AA9" s="30">
        <f t="shared" si="8"/>
        <v>26.1</v>
      </c>
      <c r="AB9" s="66">
        <f t="shared" si="9"/>
        <v>26</v>
      </c>
      <c r="AD9" s="81">
        <v>0.0</v>
      </c>
      <c r="AE9" s="81">
        <v>0.0</v>
      </c>
      <c r="AF9" s="81">
        <v>2.0</v>
      </c>
      <c r="AG9" s="81">
        <v>3.0</v>
      </c>
      <c r="AH9" s="68"/>
    </row>
    <row r="10">
      <c r="A10" s="69" t="s">
        <v>103</v>
      </c>
      <c r="B10" s="20" t="s">
        <v>104</v>
      </c>
      <c r="C10" s="51">
        <v>0.0</v>
      </c>
      <c r="D10" s="51">
        <v>0.0</v>
      </c>
      <c r="E10" s="51">
        <v>0.0</v>
      </c>
      <c r="F10" s="51">
        <v>0.0</v>
      </c>
      <c r="G10" s="61">
        <f t="shared" si="1"/>
        <v>0</v>
      </c>
      <c r="H10" s="61">
        <v>2.0</v>
      </c>
      <c r="I10" s="61">
        <v>2.0</v>
      </c>
      <c r="J10" s="61">
        <v>1.0</v>
      </c>
      <c r="K10" s="61">
        <v>2.0</v>
      </c>
      <c r="L10" s="62">
        <f t="shared" si="2"/>
        <v>7</v>
      </c>
      <c r="M10" s="62">
        <f t="shared" si="3"/>
        <v>5.6</v>
      </c>
      <c r="N10" s="63">
        <v>0.0</v>
      </c>
      <c r="O10" s="63">
        <v>0.0</v>
      </c>
      <c r="P10" s="63">
        <v>0.0</v>
      </c>
      <c r="Q10" s="63">
        <v>0.0</v>
      </c>
      <c r="R10" s="64">
        <f t="shared" si="4"/>
        <v>0</v>
      </c>
      <c r="S10" s="82">
        <v>2.222222222</v>
      </c>
      <c r="T10" s="30">
        <f t="shared" si="5"/>
        <v>7.82</v>
      </c>
      <c r="U10" s="30"/>
      <c r="V10" s="30"/>
      <c r="W10" s="30"/>
      <c r="X10" s="30"/>
      <c r="Y10" s="30">
        <f t="shared" si="6"/>
        <v>0</v>
      </c>
      <c r="Z10" s="30">
        <f t="shared" si="7"/>
        <v>0</v>
      </c>
      <c r="AA10" s="30">
        <f t="shared" si="8"/>
        <v>7.82</v>
      </c>
      <c r="AB10" s="66">
        <f t="shared" si="9"/>
        <v>8</v>
      </c>
      <c r="AD10" s="81">
        <v>1.0</v>
      </c>
      <c r="AE10" s="81">
        <v>0.0</v>
      </c>
      <c r="AF10" s="81">
        <v>0.0</v>
      </c>
      <c r="AG10" s="81">
        <v>2.0</v>
      </c>
      <c r="AH10" s="68"/>
    </row>
    <row r="11">
      <c r="A11" s="69" t="s">
        <v>112</v>
      </c>
      <c r="B11" s="20" t="s">
        <v>113</v>
      </c>
      <c r="C11" s="51">
        <v>0.0</v>
      </c>
      <c r="D11" s="51">
        <v>7.5</v>
      </c>
      <c r="E11" s="51">
        <v>8.0</v>
      </c>
      <c r="F11" s="51">
        <v>0.0</v>
      </c>
      <c r="G11" s="61">
        <f t="shared" si="1"/>
        <v>8.556</v>
      </c>
      <c r="H11" s="61">
        <v>5.0</v>
      </c>
      <c r="I11" s="61">
        <v>1.0</v>
      </c>
      <c r="J11" s="61">
        <v>0.0</v>
      </c>
      <c r="K11" s="61">
        <v>1.0</v>
      </c>
      <c r="L11" s="62">
        <f t="shared" si="2"/>
        <v>7</v>
      </c>
      <c r="M11" s="62">
        <f t="shared" si="3"/>
        <v>5.6</v>
      </c>
      <c r="N11" s="63">
        <v>50.0</v>
      </c>
      <c r="O11" s="63">
        <v>0.0</v>
      </c>
      <c r="P11" s="63">
        <v>0.0</v>
      </c>
      <c r="Q11" s="63">
        <v>0.0</v>
      </c>
      <c r="R11" s="64">
        <f t="shared" si="4"/>
        <v>1.25</v>
      </c>
      <c r="S11" s="65">
        <v>2.314814815</v>
      </c>
      <c r="T11" s="30">
        <f t="shared" si="5"/>
        <v>17.72</v>
      </c>
      <c r="U11" s="80">
        <v>2.5</v>
      </c>
      <c r="V11" s="80">
        <v>5.0</v>
      </c>
      <c r="W11" s="80">
        <v>2.0</v>
      </c>
      <c r="X11" s="80">
        <v>2.0</v>
      </c>
      <c r="Y11" s="30">
        <f t="shared" si="6"/>
        <v>11.5</v>
      </c>
      <c r="Z11" s="30">
        <f t="shared" si="7"/>
        <v>8.625</v>
      </c>
      <c r="AA11" s="30">
        <f t="shared" si="8"/>
        <v>26.345</v>
      </c>
      <c r="AB11" s="66">
        <f t="shared" si="9"/>
        <v>26</v>
      </c>
    </row>
    <row r="12">
      <c r="A12" s="69" t="s">
        <v>122</v>
      </c>
      <c r="B12" s="20" t="s">
        <v>123</v>
      </c>
      <c r="C12" s="51">
        <v>7.0</v>
      </c>
      <c r="D12" s="51">
        <v>4.0</v>
      </c>
      <c r="E12" s="51">
        <v>7.0</v>
      </c>
      <c r="F12" s="51">
        <v>15.0</v>
      </c>
      <c r="G12" s="61">
        <f t="shared" si="1"/>
        <v>12.778</v>
      </c>
      <c r="H12" s="61">
        <v>4.0</v>
      </c>
      <c r="I12" s="61">
        <v>3.0</v>
      </c>
      <c r="J12" s="61">
        <v>3.0</v>
      </c>
      <c r="K12" s="61">
        <v>1.0</v>
      </c>
      <c r="L12" s="62">
        <f t="shared" si="2"/>
        <v>11</v>
      </c>
      <c r="M12" s="62">
        <f t="shared" si="3"/>
        <v>8.8</v>
      </c>
      <c r="N12" s="63">
        <v>50.0</v>
      </c>
      <c r="O12" s="63">
        <v>0.0</v>
      </c>
      <c r="P12" s="63">
        <v>18.0</v>
      </c>
      <c r="Q12" s="63">
        <v>50.0</v>
      </c>
      <c r="R12" s="64">
        <f t="shared" si="4"/>
        <v>3.25</v>
      </c>
      <c r="S12" s="65">
        <v>7.5</v>
      </c>
      <c r="T12" s="30">
        <f t="shared" si="5"/>
        <v>32.33</v>
      </c>
      <c r="U12" s="80">
        <v>2.0</v>
      </c>
      <c r="V12" s="80">
        <v>4.0</v>
      </c>
      <c r="W12" s="80">
        <v>10.5</v>
      </c>
      <c r="X12" s="80">
        <v>1.0</v>
      </c>
      <c r="Y12" s="30">
        <f t="shared" si="6"/>
        <v>17.5</v>
      </c>
      <c r="Z12" s="30">
        <f t="shared" si="7"/>
        <v>13.125</v>
      </c>
      <c r="AA12" s="30">
        <f t="shared" si="8"/>
        <v>45.455</v>
      </c>
      <c r="AB12" s="66">
        <f t="shared" si="9"/>
        <v>45</v>
      </c>
      <c r="AD12" s="5">
        <v>1.5</v>
      </c>
      <c r="AE12" s="5">
        <v>1.5</v>
      </c>
      <c r="AF12" s="5">
        <v>0.0</v>
      </c>
      <c r="AG12" s="5">
        <v>1.0</v>
      </c>
    </row>
    <row r="13">
      <c r="A13" s="69" t="s">
        <v>127</v>
      </c>
      <c r="B13" s="20" t="s">
        <v>128</v>
      </c>
      <c r="C13" s="51">
        <v>0.0</v>
      </c>
      <c r="D13" s="51">
        <v>0.0</v>
      </c>
      <c r="E13" s="51">
        <v>0.0</v>
      </c>
      <c r="F13" s="51">
        <v>0.0</v>
      </c>
      <c r="G13" s="61">
        <f t="shared" si="1"/>
        <v>0</v>
      </c>
      <c r="H13" s="61">
        <v>6.0</v>
      </c>
      <c r="I13" s="61">
        <v>3.0</v>
      </c>
      <c r="J13" s="61">
        <v>2.5</v>
      </c>
      <c r="K13" s="61">
        <v>2.0</v>
      </c>
      <c r="L13" s="62">
        <f t="shared" si="2"/>
        <v>13.5</v>
      </c>
      <c r="M13" s="62">
        <f t="shared" si="3"/>
        <v>10.8</v>
      </c>
      <c r="N13" s="63">
        <v>50.0</v>
      </c>
      <c r="O13" s="63">
        <v>40.0</v>
      </c>
      <c r="P13" s="63">
        <v>0.0</v>
      </c>
      <c r="Q13" s="63">
        <v>0.0</v>
      </c>
      <c r="R13" s="64">
        <f t="shared" si="4"/>
        <v>2.25</v>
      </c>
      <c r="S13" s="82">
        <v>3.703703704</v>
      </c>
      <c r="T13" s="30">
        <f t="shared" si="5"/>
        <v>16.75</v>
      </c>
      <c r="U13" s="30"/>
      <c r="V13" s="30"/>
      <c r="W13" s="30"/>
      <c r="X13" s="30"/>
      <c r="Y13" s="30">
        <f t="shared" si="6"/>
        <v>0</v>
      </c>
      <c r="Z13" s="30">
        <f t="shared" si="7"/>
        <v>0</v>
      </c>
      <c r="AA13" s="30">
        <f t="shared" si="8"/>
        <v>16.75</v>
      </c>
      <c r="AB13" s="66">
        <f t="shared" si="9"/>
        <v>17</v>
      </c>
      <c r="AD13" s="5">
        <v>1.0</v>
      </c>
      <c r="AE13" s="5">
        <v>1.5</v>
      </c>
      <c r="AF13" s="5">
        <v>0.0</v>
      </c>
      <c r="AG13" s="5">
        <v>2.0</v>
      </c>
    </row>
    <row r="14">
      <c r="A14" s="69" t="s">
        <v>132</v>
      </c>
      <c r="B14" s="20" t="s">
        <v>134</v>
      </c>
      <c r="C14" s="51">
        <v>0.0</v>
      </c>
      <c r="D14" s="51">
        <v>0.0</v>
      </c>
      <c r="E14" s="51">
        <v>6.0</v>
      </c>
      <c r="F14" s="51">
        <v>0.0</v>
      </c>
      <c r="G14" s="61">
        <f t="shared" si="1"/>
        <v>2.667</v>
      </c>
      <c r="H14" s="61">
        <v>4.0</v>
      </c>
      <c r="I14" s="61">
        <v>0.0</v>
      </c>
      <c r="J14" s="61">
        <v>0.0</v>
      </c>
      <c r="K14" s="61">
        <v>2.0</v>
      </c>
      <c r="L14" s="62">
        <f t="shared" si="2"/>
        <v>6</v>
      </c>
      <c r="M14" s="62">
        <f t="shared" si="3"/>
        <v>4.8</v>
      </c>
      <c r="N14" s="63">
        <v>50.0</v>
      </c>
      <c r="O14" s="63">
        <v>50.0</v>
      </c>
      <c r="P14" s="63">
        <v>15.0</v>
      </c>
      <c r="Q14" s="63">
        <v>0.0</v>
      </c>
      <c r="R14" s="64">
        <f t="shared" si="4"/>
        <v>3.13</v>
      </c>
      <c r="S14" s="65">
        <v>1.481481481</v>
      </c>
      <c r="T14" s="30">
        <f t="shared" si="5"/>
        <v>12.08</v>
      </c>
      <c r="U14" s="30"/>
      <c r="V14" s="30"/>
      <c r="W14" s="30"/>
      <c r="X14" s="30"/>
      <c r="Y14" s="30">
        <f t="shared" si="6"/>
        <v>0</v>
      </c>
      <c r="Z14" s="30">
        <f t="shared" si="7"/>
        <v>0</v>
      </c>
      <c r="AA14" s="30">
        <f t="shared" si="8"/>
        <v>12.08</v>
      </c>
      <c r="AB14" s="66">
        <f t="shared" si="9"/>
        <v>12</v>
      </c>
      <c r="AD14" s="5">
        <v>0.0</v>
      </c>
      <c r="AE14" s="5">
        <v>0.0</v>
      </c>
      <c r="AF14" s="5">
        <v>0.0</v>
      </c>
      <c r="AG14" s="5">
        <v>2.0</v>
      </c>
    </row>
    <row r="15">
      <c r="A15" s="69" t="s">
        <v>138</v>
      </c>
      <c r="B15" s="20" t="s">
        <v>139</v>
      </c>
      <c r="C15" s="51">
        <v>9.0</v>
      </c>
      <c r="D15" s="51">
        <v>7.0</v>
      </c>
      <c r="E15" s="51">
        <v>6.0</v>
      </c>
      <c r="F15" s="51">
        <v>0.0</v>
      </c>
      <c r="G15" s="61">
        <f t="shared" si="1"/>
        <v>13.333</v>
      </c>
      <c r="H15" s="61">
        <v>3.0</v>
      </c>
      <c r="I15" s="61">
        <v>0.0</v>
      </c>
      <c r="J15" s="61">
        <v>2.5</v>
      </c>
      <c r="K15" s="61">
        <v>1.0</v>
      </c>
      <c r="L15" s="62">
        <f t="shared" si="2"/>
        <v>6.5</v>
      </c>
      <c r="M15" s="62">
        <f t="shared" si="3"/>
        <v>5.2</v>
      </c>
      <c r="N15" s="63">
        <v>50.0</v>
      </c>
      <c r="O15" s="63">
        <v>40.0</v>
      </c>
      <c r="P15" s="63">
        <v>15.0</v>
      </c>
      <c r="Q15" s="63">
        <v>0.0</v>
      </c>
      <c r="R15" s="64">
        <f t="shared" si="4"/>
        <v>2.88</v>
      </c>
      <c r="S15" s="65">
        <v>2.592592593</v>
      </c>
      <c r="T15" s="30">
        <f t="shared" si="5"/>
        <v>24.01</v>
      </c>
      <c r="U15" s="30"/>
      <c r="V15" s="30"/>
      <c r="W15" s="30"/>
      <c r="X15" s="30"/>
      <c r="Y15" s="30">
        <f t="shared" si="6"/>
        <v>0</v>
      </c>
      <c r="Z15" s="30">
        <f t="shared" si="7"/>
        <v>0</v>
      </c>
      <c r="AA15" s="30">
        <f t="shared" si="8"/>
        <v>24.01</v>
      </c>
      <c r="AB15" s="66">
        <f t="shared" si="9"/>
        <v>24</v>
      </c>
      <c r="AD15" s="5">
        <v>2.5</v>
      </c>
      <c r="AE15" s="5">
        <v>0.0</v>
      </c>
      <c r="AF15" s="5">
        <v>0.0</v>
      </c>
      <c r="AG15" s="5">
        <v>1.0</v>
      </c>
    </row>
    <row r="16">
      <c r="A16" s="69" t="s">
        <v>144</v>
      </c>
      <c r="B16" s="20" t="s">
        <v>146</v>
      </c>
      <c r="C16" s="51">
        <v>10.0</v>
      </c>
      <c r="D16" s="51">
        <v>10.0</v>
      </c>
      <c r="E16" s="51">
        <v>15.0</v>
      </c>
      <c r="F16" s="51">
        <v>9.0</v>
      </c>
      <c r="G16" s="61">
        <f t="shared" si="1"/>
        <v>20</v>
      </c>
      <c r="H16" s="61">
        <v>6.0</v>
      </c>
      <c r="I16" s="61">
        <v>4.0</v>
      </c>
      <c r="J16" s="61">
        <v>6.0</v>
      </c>
      <c r="K16" s="61">
        <v>4.0</v>
      </c>
      <c r="L16" s="62">
        <f t="shared" si="2"/>
        <v>20</v>
      </c>
      <c r="M16" s="62">
        <f t="shared" si="3"/>
        <v>16</v>
      </c>
      <c r="N16" s="63">
        <v>50.0</v>
      </c>
      <c r="O16" s="63">
        <v>50.0</v>
      </c>
      <c r="P16" s="63">
        <v>30.0</v>
      </c>
      <c r="Q16" s="63">
        <v>50.0</v>
      </c>
      <c r="R16" s="64">
        <f t="shared" si="4"/>
        <v>5</v>
      </c>
      <c r="S16" s="65">
        <v>23.5</v>
      </c>
      <c r="T16" s="30">
        <f t="shared" si="5"/>
        <v>64.5</v>
      </c>
      <c r="U16" s="80">
        <v>5.5</v>
      </c>
      <c r="V16" s="80">
        <v>8.0</v>
      </c>
      <c r="W16" s="80">
        <v>12.0</v>
      </c>
      <c r="X16" s="80">
        <v>3.5</v>
      </c>
      <c r="Y16" s="30">
        <f t="shared" si="6"/>
        <v>29</v>
      </c>
      <c r="Z16" s="30">
        <f t="shared" si="7"/>
        <v>21.75</v>
      </c>
      <c r="AA16" s="30">
        <f t="shared" si="8"/>
        <v>86.25</v>
      </c>
      <c r="AB16" s="66">
        <f t="shared" si="9"/>
        <v>86</v>
      </c>
      <c r="AD16" s="5">
        <v>4.0</v>
      </c>
      <c r="AE16" s="5">
        <v>3.0</v>
      </c>
      <c r="AF16" s="5">
        <v>2.0</v>
      </c>
      <c r="AG16" s="5">
        <v>2.0</v>
      </c>
    </row>
    <row r="17">
      <c r="A17" s="69" t="s">
        <v>153</v>
      </c>
      <c r="B17" s="20" t="s">
        <v>154</v>
      </c>
      <c r="C17" s="51">
        <v>10.0</v>
      </c>
      <c r="D17" s="51">
        <v>7.0</v>
      </c>
      <c r="E17" s="51">
        <v>12.0</v>
      </c>
      <c r="F17" s="51">
        <v>19.0</v>
      </c>
      <c r="G17" s="61">
        <f t="shared" si="1"/>
        <v>18.333</v>
      </c>
      <c r="H17" s="61">
        <v>4.5</v>
      </c>
      <c r="I17" s="61">
        <v>5.0</v>
      </c>
      <c r="J17" s="61">
        <v>6.0</v>
      </c>
      <c r="K17" s="61">
        <v>4.5</v>
      </c>
      <c r="L17" s="62">
        <f t="shared" si="2"/>
        <v>20</v>
      </c>
      <c r="M17" s="62">
        <f t="shared" si="3"/>
        <v>16</v>
      </c>
      <c r="N17" s="63">
        <v>50.0</v>
      </c>
      <c r="O17" s="63">
        <v>50.0</v>
      </c>
      <c r="P17" s="63">
        <v>25.0</v>
      </c>
      <c r="Q17" s="63">
        <v>50.0</v>
      </c>
      <c r="R17" s="64">
        <f t="shared" si="4"/>
        <v>4.79</v>
      </c>
      <c r="S17" s="65">
        <v>18.0</v>
      </c>
      <c r="T17" s="30">
        <f t="shared" si="5"/>
        <v>57.12</v>
      </c>
      <c r="U17" s="80">
        <v>6.75</v>
      </c>
      <c r="V17" s="80">
        <v>6.5</v>
      </c>
      <c r="W17" s="80">
        <v>12.0</v>
      </c>
      <c r="X17" s="80">
        <v>6.5</v>
      </c>
      <c r="Y17" s="30">
        <f t="shared" si="6"/>
        <v>31.75</v>
      </c>
      <c r="Z17" s="30">
        <f t="shared" si="7"/>
        <v>23.8125</v>
      </c>
      <c r="AA17" s="30">
        <f t="shared" si="8"/>
        <v>80.9325</v>
      </c>
      <c r="AB17" s="66">
        <f t="shared" si="9"/>
        <v>81</v>
      </c>
      <c r="AD17" s="5">
        <v>4.0</v>
      </c>
      <c r="AE17" s="5">
        <v>2.0</v>
      </c>
      <c r="AF17" s="5">
        <v>2.0</v>
      </c>
      <c r="AG17" s="5">
        <v>2.5</v>
      </c>
    </row>
    <row r="18">
      <c r="A18" s="69" t="s">
        <v>162</v>
      </c>
      <c r="B18" s="20" t="s">
        <v>164</v>
      </c>
      <c r="C18" s="51">
        <v>9.0</v>
      </c>
      <c r="D18" s="51">
        <v>6.5</v>
      </c>
      <c r="E18" s="51">
        <v>4.0</v>
      </c>
      <c r="F18" s="51">
        <v>5.0</v>
      </c>
      <c r="G18" s="61">
        <f t="shared" si="1"/>
        <v>12.111</v>
      </c>
      <c r="H18" s="61">
        <v>5.0</v>
      </c>
      <c r="I18" s="61">
        <v>2.0</v>
      </c>
      <c r="J18" s="61">
        <v>5.5</v>
      </c>
      <c r="K18" s="61">
        <v>4.0</v>
      </c>
      <c r="L18" s="62">
        <f t="shared" si="2"/>
        <v>16.5</v>
      </c>
      <c r="M18" s="62">
        <f t="shared" si="3"/>
        <v>13.2</v>
      </c>
      <c r="N18" s="63">
        <v>45.0</v>
      </c>
      <c r="O18" s="63">
        <v>40.0</v>
      </c>
      <c r="P18" s="63">
        <v>20.0</v>
      </c>
      <c r="Q18" s="63">
        <v>50.0</v>
      </c>
      <c r="R18" s="64">
        <f t="shared" si="4"/>
        <v>4.21</v>
      </c>
      <c r="S18" s="65">
        <v>17.40740741</v>
      </c>
      <c r="T18" s="30">
        <f t="shared" si="5"/>
        <v>46.93</v>
      </c>
      <c r="U18" s="80">
        <v>5.25</v>
      </c>
      <c r="V18" s="80">
        <v>1.0</v>
      </c>
      <c r="W18" s="80">
        <v>9.0</v>
      </c>
      <c r="X18" s="80">
        <v>3.5</v>
      </c>
      <c r="Y18" s="30">
        <f t="shared" si="6"/>
        <v>18.75</v>
      </c>
      <c r="Z18" s="30">
        <f t="shared" si="7"/>
        <v>14.0625</v>
      </c>
      <c r="AA18" s="30">
        <f t="shared" si="8"/>
        <v>60.9925</v>
      </c>
      <c r="AB18" s="66">
        <f t="shared" si="9"/>
        <v>61</v>
      </c>
      <c r="AD18" s="5">
        <v>4.0</v>
      </c>
      <c r="AE18" s="5">
        <v>1.5</v>
      </c>
      <c r="AF18" s="5">
        <v>2.0</v>
      </c>
      <c r="AG18" s="5">
        <v>2.0</v>
      </c>
    </row>
    <row r="19">
      <c r="A19" s="69" t="s">
        <v>171</v>
      </c>
      <c r="B19" s="20" t="s">
        <v>172</v>
      </c>
      <c r="C19" s="51">
        <v>10.0</v>
      </c>
      <c r="D19" s="51">
        <v>10.0</v>
      </c>
      <c r="E19" s="51">
        <v>12.0</v>
      </c>
      <c r="F19" s="51">
        <v>3.0</v>
      </c>
      <c r="G19" s="61">
        <f t="shared" si="1"/>
        <v>18.667</v>
      </c>
      <c r="H19" s="61">
        <v>4.0</v>
      </c>
      <c r="I19" s="61">
        <v>0.0</v>
      </c>
      <c r="J19" s="61">
        <v>1.5</v>
      </c>
      <c r="K19" s="61">
        <v>2.0</v>
      </c>
      <c r="L19" s="62">
        <f t="shared" si="2"/>
        <v>7.5</v>
      </c>
      <c r="M19" s="62">
        <f t="shared" si="3"/>
        <v>6</v>
      </c>
      <c r="N19" s="63">
        <v>40.0</v>
      </c>
      <c r="O19" s="63">
        <v>50.0</v>
      </c>
      <c r="P19" s="63">
        <v>30.0</v>
      </c>
      <c r="Q19" s="63">
        <v>0.0</v>
      </c>
      <c r="R19" s="64">
        <f t="shared" si="4"/>
        <v>3.5</v>
      </c>
      <c r="S19" s="65">
        <v>8.518518519</v>
      </c>
      <c r="T19" s="30">
        <f t="shared" si="5"/>
        <v>36.69</v>
      </c>
      <c r="U19" s="80">
        <v>3.5</v>
      </c>
      <c r="V19" s="80">
        <v>2.0</v>
      </c>
      <c r="W19" s="80">
        <v>11.0</v>
      </c>
      <c r="X19" s="80">
        <v>1.0</v>
      </c>
      <c r="Y19" s="30">
        <f t="shared" si="6"/>
        <v>17.5</v>
      </c>
      <c r="Z19" s="30">
        <f t="shared" si="7"/>
        <v>13.125</v>
      </c>
      <c r="AA19" s="30">
        <f t="shared" si="8"/>
        <v>49.815</v>
      </c>
      <c r="AB19" s="66">
        <f t="shared" si="9"/>
        <v>50</v>
      </c>
      <c r="AD19" s="5">
        <v>1.5</v>
      </c>
      <c r="AE19" s="5">
        <v>0.0</v>
      </c>
      <c r="AF19" s="5">
        <v>0.0</v>
      </c>
      <c r="AG19" s="5">
        <v>2.0</v>
      </c>
    </row>
    <row r="20">
      <c r="A20" s="69" t="s">
        <v>176</v>
      </c>
      <c r="B20" s="20" t="s">
        <v>177</v>
      </c>
      <c r="C20" s="51">
        <v>0.0</v>
      </c>
      <c r="D20" s="51">
        <v>10.0</v>
      </c>
      <c r="E20" s="51">
        <v>14.5</v>
      </c>
      <c r="F20" s="51">
        <v>0.0</v>
      </c>
      <c r="G20" s="61">
        <f t="shared" si="1"/>
        <v>13.111</v>
      </c>
      <c r="H20" s="61">
        <v>4.0</v>
      </c>
      <c r="I20" s="61">
        <v>3.0</v>
      </c>
      <c r="J20" s="61">
        <v>2.0</v>
      </c>
      <c r="K20" s="61">
        <v>2.5</v>
      </c>
      <c r="L20" s="62">
        <f t="shared" si="2"/>
        <v>11.5</v>
      </c>
      <c r="M20" s="62">
        <f t="shared" si="3"/>
        <v>9.2</v>
      </c>
      <c r="N20" s="63">
        <v>50.0</v>
      </c>
      <c r="O20" s="63">
        <v>50.0</v>
      </c>
      <c r="P20" s="63">
        <v>30.0</v>
      </c>
      <c r="Q20" s="63">
        <v>50.0</v>
      </c>
      <c r="R20" s="64">
        <f t="shared" si="4"/>
        <v>5</v>
      </c>
      <c r="S20" s="65">
        <v>11.35185185</v>
      </c>
      <c r="T20" s="30">
        <f t="shared" si="5"/>
        <v>38.66</v>
      </c>
      <c r="U20" s="30"/>
      <c r="V20" s="30"/>
      <c r="W20" s="30"/>
      <c r="X20" s="30"/>
      <c r="Y20" s="30">
        <f t="shared" si="6"/>
        <v>0</v>
      </c>
      <c r="Z20" s="30">
        <f t="shared" si="7"/>
        <v>0</v>
      </c>
      <c r="AA20" s="30">
        <f t="shared" si="8"/>
        <v>38.66</v>
      </c>
      <c r="AB20" s="66">
        <f t="shared" si="9"/>
        <v>39</v>
      </c>
      <c r="AD20" s="5">
        <v>2.0</v>
      </c>
      <c r="AE20" s="5">
        <v>0.0</v>
      </c>
      <c r="AF20" s="5">
        <v>0.0</v>
      </c>
      <c r="AG20" s="5">
        <v>2.5</v>
      </c>
    </row>
    <row r="21">
      <c r="A21" s="69" t="s">
        <v>181</v>
      </c>
      <c r="B21" s="20" t="s">
        <v>182</v>
      </c>
      <c r="C21" s="51">
        <v>9.0</v>
      </c>
      <c r="D21" s="51">
        <v>6.0</v>
      </c>
      <c r="E21" s="51">
        <v>15.0</v>
      </c>
      <c r="F21" s="51">
        <v>18.0</v>
      </c>
      <c r="G21" s="61">
        <f t="shared" si="1"/>
        <v>18.667</v>
      </c>
      <c r="H21" s="61">
        <v>6.0</v>
      </c>
      <c r="I21" s="61">
        <v>3.0</v>
      </c>
      <c r="J21" s="61">
        <v>4.0</v>
      </c>
      <c r="K21" s="61">
        <v>4.0</v>
      </c>
      <c r="L21" s="62">
        <f t="shared" si="2"/>
        <v>17</v>
      </c>
      <c r="M21" s="62">
        <f t="shared" si="3"/>
        <v>13.6</v>
      </c>
      <c r="N21" s="63">
        <v>50.0</v>
      </c>
      <c r="O21" s="63">
        <v>50.0</v>
      </c>
      <c r="P21" s="63">
        <v>30.0</v>
      </c>
      <c r="Q21" s="63">
        <v>50.0</v>
      </c>
      <c r="R21" s="64">
        <f t="shared" si="4"/>
        <v>5</v>
      </c>
      <c r="S21" s="65">
        <v>21.0</v>
      </c>
      <c r="T21" s="30">
        <f t="shared" si="5"/>
        <v>58.27</v>
      </c>
      <c r="U21" s="80">
        <v>5.0</v>
      </c>
      <c r="V21" s="80">
        <v>7.0</v>
      </c>
      <c r="W21" s="80">
        <v>12.0</v>
      </c>
      <c r="X21" s="80">
        <v>5.5</v>
      </c>
      <c r="Y21" s="30">
        <f t="shared" si="6"/>
        <v>29.5</v>
      </c>
      <c r="Z21" s="30">
        <f t="shared" si="7"/>
        <v>22.125</v>
      </c>
      <c r="AA21" s="30">
        <f t="shared" si="8"/>
        <v>80.395</v>
      </c>
      <c r="AB21" s="66">
        <f t="shared" si="9"/>
        <v>80</v>
      </c>
      <c r="AD21" s="5">
        <v>2.0</v>
      </c>
      <c r="AE21" s="5">
        <v>2.0</v>
      </c>
      <c r="AF21" s="5">
        <v>2.0</v>
      </c>
      <c r="AG21" s="5">
        <v>2.0</v>
      </c>
    </row>
    <row r="22">
      <c r="A22" s="69" t="s">
        <v>186</v>
      </c>
      <c r="B22" s="20" t="s">
        <v>187</v>
      </c>
      <c r="C22" s="51">
        <v>6.0</v>
      </c>
      <c r="D22" s="51">
        <v>10.0</v>
      </c>
      <c r="E22" s="51">
        <v>15.0</v>
      </c>
      <c r="F22" s="51">
        <v>18.0</v>
      </c>
      <c r="G22" s="61">
        <f t="shared" si="1"/>
        <v>19.333</v>
      </c>
      <c r="H22" s="61">
        <v>6.0</v>
      </c>
      <c r="I22" s="61">
        <v>5.0</v>
      </c>
      <c r="J22" s="61">
        <v>5.5</v>
      </c>
      <c r="K22" s="61">
        <v>5.5</v>
      </c>
      <c r="L22" s="62">
        <f t="shared" si="2"/>
        <v>22</v>
      </c>
      <c r="M22" s="62">
        <f t="shared" si="3"/>
        <v>17.6</v>
      </c>
      <c r="N22" s="63">
        <v>50.0</v>
      </c>
      <c r="O22" s="63">
        <v>50.0</v>
      </c>
      <c r="P22" s="63">
        <v>30.0</v>
      </c>
      <c r="Q22" s="63">
        <v>50.0</v>
      </c>
      <c r="R22" s="64">
        <f t="shared" si="4"/>
        <v>5</v>
      </c>
      <c r="S22" s="65">
        <v>23.5</v>
      </c>
      <c r="T22" s="30">
        <f t="shared" si="5"/>
        <v>65.43</v>
      </c>
      <c r="U22" s="80">
        <v>8.0</v>
      </c>
      <c r="V22" s="80">
        <v>9.0</v>
      </c>
      <c r="W22" s="80">
        <v>12.0</v>
      </c>
      <c r="X22" s="80">
        <v>5.5</v>
      </c>
      <c r="Y22" s="30">
        <f t="shared" si="6"/>
        <v>34.5</v>
      </c>
      <c r="Z22" s="30">
        <f t="shared" si="7"/>
        <v>25.875</v>
      </c>
      <c r="AA22" s="30">
        <f t="shared" si="8"/>
        <v>91.305</v>
      </c>
      <c r="AB22" s="66">
        <f t="shared" si="9"/>
        <v>91</v>
      </c>
      <c r="AD22" s="5">
        <v>3.5</v>
      </c>
      <c r="AE22" s="5">
        <v>2.0</v>
      </c>
      <c r="AF22" s="5">
        <v>2.0</v>
      </c>
      <c r="AG22" s="5">
        <v>3.5</v>
      </c>
    </row>
    <row r="23">
      <c r="A23" s="69" t="s">
        <v>190</v>
      </c>
      <c r="B23" s="20" t="s">
        <v>191</v>
      </c>
      <c r="C23" s="51">
        <v>10.0</v>
      </c>
      <c r="D23" s="51">
        <v>6.0</v>
      </c>
      <c r="E23" s="51">
        <v>15.0</v>
      </c>
      <c r="F23" s="51">
        <v>11.5</v>
      </c>
      <c r="G23" s="61">
        <f t="shared" si="1"/>
        <v>17.333</v>
      </c>
      <c r="H23" s="61">
        <v>6.0</v>
      </c>
      <c r="I23" s="61">
        <v>4.0</v>
      </c>
      <c r="J23" s="61">
        <v>2.0</v>
      </c>
      <c r="K23" s="61">
        <v>5.5</v>
      </c>
      <c r="L23" s="62">
        <f t="shared" si="2"/>
        <v>17.5</v>
      </c>
      <c r="M23" s="62">
        <f t="shared" si="3"/>
        <v>14</v>
      </c>
      <c r="N23" s="63">
        <v>50.0</v>
      </c>
      <c r="O23" s="63">
        <v>50.0</v>
      </c>
      <c r="P23" s="63">
        <v>30.0</v>
      </c>
      <c r="Q23" s="63">
        <v>50.0</v>
      </c>
      <c r="R23" s="64">
        <f t="shared" si="4"/>
        <v>5</v>
      </c>
      <c r="S23" s="65">
        <v>21.0</v>
      </c>
      <c r="T23" s="30">
        <f t="shared" si="5"/>
        <v>57.33</v>
      </c>
      <c r="U23" s="80">
        <v>1.5</v>
      </c>
      <c r="V23" s="80">
        <v>9.0</v>
      </c>
      <c r="W23" s="80">
        <v>12.0</v>
      </c>
      <c r="X23" s="80">
        <v>1.5</v>
      </c>
      <c r="Y23" s="30">
        <f t="shared" si="6"/>
        <v>24</v>
      </c>
      <c r="Z23" s="30">
        <f t="shared" si="7"/>
        <v>18</v>
      </c>
      <c r="AA23" s="30">
        <f t="shared" si="8"/>
        <v>75.33</v>
      </c>
      <c r="AB23" s="66">
        <f t="shared" si="9"/>
        <v>75</v>
      </c>
      <c r="AD23" s="5">
        <v>2.0</v>
      </c>
      <c r="AE23" s="5">
        <v>0.0</v>
      </c>
      <c r="AF23" s="5">
        <v>2.0</v>
      </c>
      <c r="AG23" s="5">
        <v>3.5</v>
      </c>
    </row>
    <row r="24">
      <c r="A24" s="69" t="s">
        <v>194</v>
      </c>
      <c r="B24" s="20" t="s">
        <v>195</v>
      </c>
      <c r="C24" s="51">
        <v>9.0</v>
      </c>
      <c r="D24" s="51">
        <v>10.0</v>
      </c>
      <c r="E24" s="51">
        <v>9.75</v>
      </c>
      <c r="F24" s="51">
        <v>20.0</v>
      </c>
      <c r="G24" s="61">
        <f t="shared" si="1"/>
        <v>19.333</v>
      </c>
      <c r="H24" s="61">
        <v>6.0</v>
      </c>
      <c r="I24" s="61">
        <v>6.0</v>
      </c>
      <c r="J24" s="61">
        <v>5.0</v>
      </c>
      <c r="K24" s="61">
        <v>2.5</v>
      </c>
      <c r="L24" s="61">
        <v>20.0</v>
      </c>
      <c r="M24" s="62">
        <f t="shared" si="3"/>
        <v>16</v>
      </c>
      <c r="N24" s="63">
        <v>40.0</v>
      </c>
      <c r="O24" s="63">
        <v>50.0</v>
      </c>
      <c r="P24" s="63">
        <v>30.0</v>
      </c>
      <c r="Q24" s="63">
        <v>50.0</v>
      </c>
      <c r="R24" s="64">
        <f t="shared" si="4"/>
        <v>4.75</v>
      </c>
      <c r="S24" s="65">
        <v>17.75</v>
      </c>
      <c r="T24" s="30">
        <f t="shared" si="5"/>
        <v>57.83</v>
      </c>
      <c r="U24" s="80">
        <v>7.0</v>
      </c>
      <c r="V24" s="80">
        <v>6.0</v>
      </c>
      <c r="W24" s="80">
        <v>11.0</v>
      </c>
      <c r="X24" s="80">
        <v>6.5</v>
      </c>
      <c r="Y24" s="30">
        <f t="shared" si="6"/>
        <v>30.5</v>
      </c>
      <c r="Z24" s="30">
        <f t="shared" si="7"/>
        <v>22.875</v>
      </c>
      <c r="AA24" s="30">
        <f t="shared" si="8"/>
        <v>80.705</v>
      </c>
      <c r="AB24" s="66">
        <f t="shared" si="9"/>
        <v>81</v>
      </c>
      <c r="AD24" s="5">
        <v>4.0</v>
      </c>
      <c r="AE24" s="5">
        <v>2.5</v>
      </c>
      <c r="AF24" s="5">
        <v>0.0</v>
      </c>
      <c r="AG24" s="5">
        <v>2.5</v>
      </c>
    </row>
    <row r="25">
      <c r="A25" s="69" t="s">
        <v>198</v>
      </c>
      <c r="B25" s="20" t="s">
        <v>199</v>
      </c>
      <c r="C25" s="51">
        <v>10.0</v>
      </c>
      <c r="D25" s="51">
        <v>8.0</v>
      </c>
      <c r="E25" s="51">
        <v>15.0</v>
      </c>
      <c r="F25" s="51">
        <v>18.0</v>
      </c>
      <c r="G25" s="61">
        <f t="shared" si="1"/>
        <v>19.333</v>
      </c>
      <c r="H25" s="61">
        <v>4.0</v>
      </c>
      <c r="I25" s="61">
        <v>3.0</v>
      </c>
      <c r="J25" s="61">
        <v>6.0</v>
      </c>
      <c r="K25" s="61">
        <v>4.5</v>
      </c>
      <c r="L25" s="62">
        <f t="shared" ref="L25:L40" si="10">sum(H25:K25)</f>
        <v>17.5</v>
      </c>
      <c r="M25" s="62">
        <f t="shared" si="3"/>
        <v>14</v>
      </c>
      <c r="N25" s="63">
        <v>50.0</v>
      </c>
      <c r="O25" s="63">
        <v>50.0</v>
      </c>
      <c r="P25" s="63">
        <v>30.0</v>
      </c>
      <c r="Q25" s="63">
        <v>50.0</v>
      </c>
      <c r="R25" s="64">
        <f t="shared" si="4"/>
        <v>5</v>
      </c>
      <c r="S25" s="65">
        <v>7.314814815</v>
      </c>
      <c r="T25" s="30">
        <f t="shared" si="5"/>
        <v>45.65</v>
      </c>
      <c r="U25" s="80">
        <v>8.0</v>
      </c>
      <c r="V25" s="80">
        <v>9.0</v>
      </c>
      <c r="W25" s="80">
        <v>11.5</v>
      </c>
      <c r="X25" s="80">
        <v>3.5</v>
      </c>
      <c r="Y25" s="30">
        <f t="shared" si="6"/>
        <v>32</v>
      </c>
      <c r="Z25" s="30">
        <f t="shared" si="7"/>
        <v>24</v>
      </c>
      <c r="AA25" s="30">
        <f t="shared" si="8"/>
        <v>69.65</v>
      </c>
      <c r="AB25" s="66">
        <f t="shared" si="9"/>
        <v>70</v>
      </c>
      <c r="AD25" s="5">
        <v>4.0</v>
      </c>
      <c r="AE25" s="5">
        <v>2.0</v>
      </c>
      <c r="AF25" s="5">
        <v>2.0</v>
      </c>
      <c r="AG25" s="5">
        <v>2.5</v>
      </c>
    </row>
    <row r="26">
      <c r="A26" s="69" t="s">
        <v>202</v>
      </c>
      <c r="B26" s="20" t="s">
        <v>203</v>
      </c>
      <c r="C26" s="51">
        <v>6.0</v>
      </c>
      <c r="D26" s="51">
        <v>10.0</v>
      </c>
      <c r="E26" s="51">
        <v>0.0</v>
      </c>
      <c r="F26" s="51">
        <v>6.0</v>
      </c>
      <c r="G26" s="61">
        <f t="shared" si="1"/>
        <v>12.667</v>
      </c>
      <c r="H26" s="61">
        <v>4.0</v>
      </c>
      <c r="I26" s="61">
        <v>6.0</v>
      </c>
      <c r="J26" s="61">
        <v>2.0</v>
      </c>
      <c r="K26" s="61">
        <v>5.5</v>
      </c>
      <c r="L26" s="62">
        <f t="shared" si="10"/>
        <v>17.5</v>
      </c>
      <c r="M26" s="62">
        <f t="shared" si="3"/>
        <v>14</v>
      </c>
      <c r="N26" s="63">
        <v>50.0</v>
      </c>
      <c r="O26" s="63">
        <v>50.0</v>
      </c>
      <c r="P26" s="63">
        <v>30.0</v>
      </c>
      <c r="Q26" s="63">
        <v>50.0</v>
      </c>
      <c r="R26" s="64">
        <f t="shared" si="4"/>
        <v>5</v>
      </c>
      <c r="S26" s="65">
        <v>16.47222222</v>
      </c>
      <c r="T26" s="30">
        <f t="shared" si="5"/>
        <v>48.14</v>
      </c>
      <c r="U26" s="80">
        <v>5.0</v>
      </c>
      <c r="V26" s="80">
        <v>2.0</v>
      </c>
      <c r="W26" s="80">
        <v>5.5</v>
      </c>
      <c r="X26" s="80">
        <v>3.0</v>
      </c>
      <c r="Y26" s="30">
        <f t="shared" si="6"/>
        <v>15.5</v>
      </c>
      <c r="Z26" s="30">
        <f t="shared" si="7"/>
        <v>11.625</v>
      </c>
      <c r="AA26" s="30">
        <f t="shared" si="8"/>
        <v>59.765</v>
      </c>
      <c r="AB26" s="66">
        <f t="shared" si="9"/>
        <v>60</v>
      </c>
      <c r="AD26" s="5">
        <v>0.0</v>
      </c>
      <c r="AE26" s="5">
        <v>2.0</v>
      </c>
      <c r="AF26" s="5">
        <v>2.0</v>
      </c>
      <c r="AG26" s="5">
        <v>3.5</v>
      </c>
    </row>
    <row r="27">
      <c r="A27" s="69" t="s">
        <v>206</v>
      </c>
      <c r="B27" s="20" t="s">
        <v>207</v>
      </c>
      <c r="C27" s="51">
        <v>9.0</v>
      </c>
      <c r="D27" s="51">
        <v>10.0</v>
      </c>
      <c r="E27" s="51">
        <v>15.0</v>
      </c>
      <c r="F27" s="51">
        <v>5.0</v>
      </c>
      <c r="G27" s="61">
        <f t="shared" si="1"/>
        <v>19.333</v>
      </c>
      <c r="H27" s="61">
        <v>6.0</v>
      </c>
      <c r="I27" s="61">
        <v>6.0</v>
      </c>
      <c r="J27" s="61">
        <v>6.0</v>
      </c>
      <c r="K27" s="61">
        <v>5.0</v>
      </c>
      <c r="L27" s="62">
        <f t="shared" si="10"/>
        <v>23</v>
      </c>
      <c r="M27" s="62">
        <f t="shared" si="3"/>
        <v>18.4</v>
      </c>
      <c r="N27" s="63">
        <v>50.0</v>
      </c>
      <c r="O27" s="63">
        <v>50.0</v>
      </c>
      <c r="P27" s="63">
        <v>30.0</v>
      </c>
      <c r="Q27" s="63">
        <v>50.0</v>
      </c>
      <c r="R27" s="64">
        <f t="shared" si="4"/>
        <v>5</v>
      </c>
      <c r="S27" s="65">
        <v>20.0</v>
      </c>
      <c r="T27" s="30">
        <f t="shared" si="5"/>
        <v>62.73</v>
      </c>
      <c r="U27" s="80">
        <v>4.0</v>
      </c>
      <c r="V27" s="80">
        <v>7.0</v>
      </c>
      <c r="W27" s="80">
        <v>9.5</v>
      </c>
      <c r="X27" s="80">
        <v>3.5</v>
      </c>
      <c r="Y27" s="30">
        <f t="shared" si="6"/>
        <v>24</v>
      </c>
      <c r="Z27" s="30">
        <f t="shared" si="7"/>
        <v>18</v>
      </c>
      <c r="AA27" s="30">
        <f t="shared" si="8"/>
        <v>80.73</v>
      </c>
      <c r="AB27" s="66">
        <f t="shared" si="9"/>
        <v>81</v>
      </c>
      <c r="AD27" s="5">
        <v>4.0</v>
      </c>
      <c r="AE27" s="5">
        <v>2.0</v>
      </c>
      <c r="AF27" s="5">
        <v>2.0</v>
      </c>
      <c r="AG27" s="5">
        <v>3.0</v>
      </c>
    </row>
    <row r="28">
      <c r="A28" s="69" t="s">
        <v>210</v>
      </c>
      <c r="B28" s="20" t="s">
        <v>211</v>
      </c>
      <c r="C28" s="51">
        <v>10.0</v>
      </c>
      <c r="D28" s="51">
        <v>9.0</v>
      </c>
      <c r="E28" s="51">
        <v>0.0</v>
      </c>
      <c r="F28" s="51">
        <v>20.0</v>
      </c>
      <c r="G28" s="61">
        <f t="shared" si="1"/>
        <v>19.333</v>
      </c>
      <c r="H28" s="61">
        <v>1.0</v>
      </c>
      <c r="I28" s="61">
        <v>6.0</v>
      </c>
      <c r="J28" s="61">
        <v>5.5</v>
      </c>
      <c r="K28" s="61">
        <v>4.0</v>
      </c>
      <c r="L28" s="62">
        <f t="shared" si="10"/>
        <v>16.5</v>
      </c>
      <c r="M28" s="62">
        <f t="shared" si="3"/>
        <v>13.2</v>
      </c>
      <c r="N28" s="63">
        <v>50.0</v>
      </c>
      <c r="O28" s="63">
        <v>50.0</v>
      </c>
      <c r="P28" s="63">
        <v>30.0</v>
      </c>
      <c r="Q28" s="63">
        <v>50.0</v>
      </c>
      <c r="R28" s="64">
        <f t="shared" si="4"/>
        <v>5</v>
      </c>
      <c r="S28" s="65">
        <v>25.0</v>
      </c>
      <c r="T28" s="30">
        <f t="shared" si="5"/>
        <v>62.53</v>
      </c>
      <c r="U28" s="80">
        <v>7.0</v>
      </c>
      <c r="V28" s="80">
        <v>7.5</v>
      </c>
      <c r="W28" s="80">
        <v>12.0</v>
      </c>
      <c r="X28" s="80">
        <v>5.0</v>
      </c>
      <c r="Y28" s="30">
        <f t="shared" si="6"/>
        <v>31.5</v>
      </c>
      <c r="Z28" s="30">
        <f t="shared" si="7"/>
        <v>23.625</v>
      </c>
      <c r="AA28" s="30">
        <f t="shared" si="8"/>
        <v>86.155</v>
      </c>
      <c r="AB28" s="66">
        <f t="shared" si="9"/>
        <v>86</v>
      </c>
      <c r="AD28" s="5">
        <v>4.0</v>
      </c>
      <c r="AE28" s="5">
        <v>1.5</v>
      </c>
      <c r="AF28" s="5">
        <v>0.0</v>
      </c>
      <c r="AG28" s="5">
        <v>4.0</v>
      </c>
    </row>
    <row r="29">
      <c r="A29" s="69" t="s">
        <v>214</v>
      </c>
      <c r="B29" s="20" t="s">
        <v>215</v>
      </c>
      <c r="C29" s="51">
        <v>10.0</v>
      </c>
      <c r="D29" s="51">
        <v>9.0</v>
      </c>
      <c r="E29" s="51">
        <v>11.0</v>
      </c>
      <c r="F29" s="51">
        <v>18.0</v>
      </c>
      <c r="G29" s="61">
        <f t="shared" si="1"/>
        <v>18.667</v>
      </c>
      <c r="H29" s="61">
        <v>6.0</v>
      </c>
      <c r="I29" s="61">
        <v>2.0</v>
      </c>
      <c r="J29" s="61">
        <v>5.5</v>
      </c>
      <c r="K29" s="61">
        <v>4.0</v>
      </c>
      <c r="L29" s="62">
        <f t="shared" si="10"/>
        <v>17.5</v>
      </c>
      <c r="M29" s="62">
        <f t="shared" si="3"/>
        <v>14</v>
      </c>
      <c r="N29" s="63">
        <v>50.0</v>
      </c>
      <c r="O29" s="63">
        <v>50.0</v>
      </c>
      <c r="P29" s="63">
        <v>30.0</v>
      </c>
      <c r="Q29" s="63">
        <v>50.0</v>
      </c>
      <c r="R29" s="64">
        <f t="shared" si="4"/>
        <v>5</v>
      </c>
      <c r="S29" s="65">
        <v>14.25</v>
      </c>
      <c r="T29" s="30">
        <f t="shared" si="5"/>
        <v>51.92</v>
      </c>
      <c r="U29" s="80">
        <v>5.5</v>
      </c>
      <c r="V29" s="80">
        <v>9.0</v>
      </c>
      <c r="W29" s="80">
        <v>9.0</v>
      </c>
      <c r="X29" s="80">
        <v>3.0</v>
      </c>
      <c r="Y29" s="30">
        <f t="shared" si="6"/>
        <v>26.5</v>
      </c>
      <c r="Z29" s="30">
        <f t="shared" si="7"/>
        <v>19.875</v>
      </c>
      <c r="AA29" s="30">
        <f t="shared" si="8"/>
        <v>71.795</v>
      </c>
      <c r="AB29" s="66">
        <f t="shared" si="9"/>
        <v>72</v>
      </c>
      <c r="AD29" s="5">
        <v>3.5</v>
      </c>
      <c r="AE29" s="5">
        <v>2.0</v>
      </c>
      <c r="AF29" s="5">
        <v>2.0</v>
      </c>
      <c r="AG29" s="5">
        <v>2.0</v>
      </c>
    </row>
    <row r="30">
      <c r="A30" s="69" t="s">
        <v>218</v>
      </c>
      <c r="B30" s="20" t="s">
        <v>219</v>
      </c>
      <c r="C30" s="51">
        <v>0.0</v>
      </c>
      <c r="D30" s="51">
        <v>7.5</v>
      </c>
      <c r="E30" s="51">
        <v>13.0</v>
      </c>
      <c r="F30" s="51">
        <v>14.0</v>
      </c>
      <c r="G30" s="61">
        <f t="shared" si="1"/>
        <v>15.444</v>
      </c>
      <c r="H30" s="61">
        <v>1.0</v>
      </c>
      <c r="I30" s="61">
        <v>6.0</v>
      </c>
      <c r="J30" s="61">
        <v>4.5</v>
      </c>
      <c r="K30" s="61">
        <v>0.0</v>
      </c>
      <c r="L30" s="62">
        <f t="shared" si="10"/>
        <v>11.5</v>
      </c>
      <c r="M30" s="62">
        <f t="shared" si="3"/>
        <v>9.2</v>
      </c>
      <c r="N30" s="63">
        <v>50.0</v>
      </c>
      <c r="O30" s="63">
        <v>30.0</v>
      </c>
      <c r="P30" s="63">
        <v>30.0</v>
      </c>
      <c r="Q30" s="63">
        <v>0.0</v>
      </c>
      <c r="R30" s="64">
        <f t="shared" si="4"/>
        <v>3.25</v>
      </c>
      <c r="S30" s="65">
        <v>5.277777778</v>
      </c>
      <c r="T30" s="30">
        <f t="shared" si="5"/>
        <v>33.17</v>
      </c>
      <c r="U30" s="80">
        <v>3.0</v>
      </c>
      <c r="V30" s="80">
        <v>4.0</v>
      </c>
      <c r="W30" s="80">
        <v>5.0</v>
      </c>
      <c r="X30" s="80">
        <v>1.0</v>
      </c>
      <c r="Y30" s="30">
        <f t="shared" si="6"/>
        <v>13</v>
      </c>
      <c r="Z30" s="30">
        <f t="shared" si="7"/>
        <v>9.75</v>
      </c>
      <c r="AA30" s="30">
        <f t="shared" si="8"/>
        <v>42.92</v>
      </c>
      <c r="AB30" s="66">
        <f t="shared" si="9"/>
        <v>43</v>
      </c>
      <c r="AD30" s="5">
        <v>3.0</v>
      </c>
      <c r="AE30" s="5">
        <v>1.5</v>
      </c>
      <c r="AF30" s="5">
        <v>0.0</v>
      </c>
      <c r="AG30" s="5">
        <v>0.0</v>
      </c>
    </row>
    <row r="31">
      <c r="A31" s="69" t="s">
        <v>222</v>
      </c>
      <c r="B31" s="20" t="s">
        <v>223</v>
      </c>
      <c r="C31" s="51">
        <v>6.0</v>
      </c>
      <c r="D31" s="51">
        <v>10.0</v>
      </c>
      <c r="E31" s="51">
        <v>15.0</v>
      </c>
      <c r="F31" s="51">
        <v>15.5</v>
      </c>
      <c r="G31" s="61">
        <f t="shared" si="1"/>
        <v>18.5</v>
      </c>
      <c r="H31" s="61">
        <v>5.0</v>
      </c>
      <c r="I31" s="61">
        <v>0.0</v>
      </c>
      <c r="J31" s="61">
        <v>4.5</v>
      </c>
      <c r="K31" s="61">
        <v>0.0</v>
      </c>
      <c r="L31" s="62">
        <f t="shared" si="10"/>
        <v>9.5</v>
      </c>
      <c r="M31" s="62">
        <f t="shared" si="3"/>
        <v>7.6</v>
      </c>
      <c r="N31" s="63">
        <v>45.0</v>
      </c>
      <c r="O31" s="63">
        <v>42.0</v>
      </c>
      <c r="P31" s="63">
        <v>30.0</v>
      </c>
      <c r="Q31" s="63">
        <v>50.0</v>
      </c>
      <c r="R31" s="64">
        <f t="shared" si="4"/>
        <v>4.68</v>
      </c>
      <c r="S31" s="65">
        <v>2.222222222</v>
      </c>
      <c r="T31" s="30">
        <f t="shared" si="5"/>
        <v>33</v>
      </c>
      <c r="U31" s="80">
        <v>2.5</v>
      </c>
      <c r="V31" s="80">
        <v>5.0</v>
      </c>
      <c r="W31" s="80">
        <v>11.5</v>
      </c>
      <c r="X31" s="80">
        <v>3.0</v>
      </c>
      <c r="Y31" s="30">
        <f t="shared" si="6"/>
        <v>22</v>
      </c>
      <c r="Z31" s="30">
        <f t="shared" si="7"/>
        <v>16.5</v>
      </c>
      <c r="AA31" s="30">
        <f t="shared" si="8"/>
        <v>49.5</v>
      </c>
      <c r="AB31" s="66">
        <f t="shared" si="9"/>
        <v>50</v>
      </c>
      <c r="AD31" s="5">
        <v>3.0</v>
      </c>
      <c r="AE31" s="5">
        <v>1.5</v>
      </c>
      <c r="AF31" s="5">
        <v>0.0</v>
      </c>
      <c r="AG31" s="5">
        <v>0.0</v>
      </c>
    </row>
    <row r="32">
      <c r="A32" s="69" t="s">
        <v>226</v>
      </c>
      <c r="B32" s="20" t="s">
        <v>227</v>
      </c>
      <c r="C32" s="51">
        <v>10.0</v>
      </c>
      <c r="D32" s="51">
        <v>10.0</v>
      </c>
      <c r="E32" s="51">
        <v>0.0</v>
      </c>
      <c r="F32" s="51">
        <v>17.0</v>
      </c>
      <c r="G32" s="61">
        <f t="shared" si="1"/>
        <v>19</v>
      </c>
      <c r="H32" s="61">
        <v>6.0</v>
      </c>
      <c r="I32" s="61">
        <v>3.0</v>
      </c>
      <c r="J32" s="61">
        <v>3.5</v>
      </c>
      <c r="K32" s="61">
        <v>3.0</v>
      </c>
      <c r="L32" s="62">
        <f t="shared" si="10"/>
        <v>15.5</v>
      </c>
      <c r="M32" s="62">
        <f t="shared" si="3"/>
        <v>12.4</v>
      </c>
      <c r="N32" s="63">
        <v>50.0</v>
      </c>
      <c r="O32" s="63">
        <v>50.0</v>
      </c>
      <c r="P32" s="63">
        <v>30.0</v>
      </c>
      <c r="Q32" s="63">
        <v>50.0</v>
      </c>
      <c r="R32" s="64">
        <f t="shared" si="4"/>
        <v>5</v>
      </c>
      <c r="S32" s="65">
        <v>16.0</v>
      </c>
      <c r="T32" s="30">
        <f t="shared" si="5"/>
        <v>52.4</v>
      </c>
      <c r="U32" s="80">
        <v>6.0</v>
      </c>
      <c r="V32" s="80">
        <v>7.5</v>
      </c>
      <c r="W32" s="80">
        <v>8.0</v>
      </c>
      <c r="X32" s="80">
        <v>3.0</v>
      </c>
      <c r="Y32" s="30">
        <f t="shared" si="6"/>
        <v>24.5</v>
      </c>
      <c r="Z32" s="30">
        <f t="shared" si="7"/>
        <v>18.375</v>
      </c>
      <c r="AA32" s="30">
        <f t="shared" si="8"/>
        <v>70.775</v>
      </c>
      <c r="AB32" s="66">
        <f t="shared" si="9"/>
        <v>71</v>
      </c>
      <c r="AD32" s="5">
        <v>2.0</v>
      </c>
      <c r="AE32" s="5">
        <v>1.5</v>
      </c>
      <c r="AF32" s="5">
        <v>2.0</v>
      </c>
      <c r="AG32" s="5">
        <v>1.0</v>
      </c>
    </row>
    <row r="33">
      <c r="A33" s="69" t="s">
        <v>230</v>
      </c>
      <c r="B33" s="20" t="s">
        <v>231</v>
      </c>
      <c r="C33" s="51">
        <v>10.0</v>
      </c>
      <c r="D33" s="51">
        <v>6.5</v>
      </c>
      <c r="E33" s="51">
        <v>0.0</v>
      </c>
      <c r="F33" s="51">
        <v>0.0</v>
      </c>
      <c r="G33" s="61">
        <f t="shared" si="1"/>
        <v>11</v>
      </c>
      <c r="H33" s="61">
        <v>3.0</v>
      </c>
      <c r="I33" s="61">
        <v>0.0</v>
      </c>
      <c r="J33" s="61">
        <v>1.0</v>
      </c>
      <c r="K33" s="61">
        <v>2.0</v>
      </c>
      <c r="L33" s="62">
        <f t="shared" si="10"/>
        <v>6</v>
      </c>
      <c r="M33" s="62">
        <f t="shared" si="3"/>
        <v>4.8</v>
      </c>
      <c r="N33" s="63">
        <v>50.0</v>
      </c>
      <c r="O33" s="63">
        <v>0.0</v>
      </c>
      <c r="P33" s="63">
        <v>0.0</v>
      </c>
      <c r="Q33" s="63">
        <v>0.0</v>
      </c>
      <c r="R33" s="64">
        <f t="shared" si="4"/>
        <v>1.25</v>
      </c>
      <c r="S33" s="65">
        <v>5.0</v>
      </c>
      <c r="T33" s="30">
        <f t="shared" si="5"/>
        <v>22.05</v>
      </c>
      <c r="U33" s="80">
        <v>1.0</v>
      </c>
      <c r="V33" s="80">
        <v>0.0</v>
      </c>
      <c r="W33" s="80">
        <v>3.0</v>
      </c>
      <c r="X33" s="80">
        <v>0.0</v>
      </c>
      <c r="Y33" s="30">
        <f t="shared" si="6"/>
        <v>4</v>
      </c>
      <c r="Z33" s="30">
        <f t="shared" si="7"/>
        <v>3</v>
      </c>
      <c r="AA33" s="30">
        <f t="shared" si="8"/>
        <v>25.05</v>
      </c>
      <c r="AB33" s="66">
        <f t="shared" si="9"/>
        <v>25</v>
      </c>
      <c r="AD33" s="5">
        <v>1.0</v>
      </c>
      <c r="AE33" s="5">
        <v>0.0</v>
      </c>
      <c r="AF33" s="5">
        <v>2.0</v>
      </c>
      <c r="AG33" s="5">
        <v>0.0</v>
      </c>
    </row>
    <row r="34">
      <c r="A34" s="69" t="s">
        <v>234</v>
      </c>
      <c r="B34" s="20" t="s">
        <v>235</v>
      </c>
      <c r="C34" s="51">
        <v>8.0</v>
      </c>
      <c r="D34" s="51">
        <v>8.0</v>
      </c>
      <c r="E34" s="51">
        <v>4.0</v>
      </c>
      <c r="F34" s="51">
        <v>8.0</v>
      </c>
      <c r="G34" s="61">
        <f t="shared" si="1"/>
        <v>13.333</v>
      </c>
      <c r="H34" s="61">
        <v>4.0</v>
      </c>
      <c r="I34" s="61">
        <v>4.0</v>
      </c>
      <c r="J34" s="61">
        <v>2.5</v>
      </c>
      <c r="K34" s="61">
        <v>5.0</v>
      </c>
      <c r="L34" s="62">
        <f t="shared" si="10"/>
        <v>15.5</v>
      </c>
      <c r="M34" s="62">
        <f t="shared" si="3"/>
        <v>12.4</v>
      </c>
      <c r="N34" s="63">
        <v>50.0</v>
      </c>
      <c r="O34" s="63">
        <v>50.0</v>
      </c>
      <c r="P34" s="63">
        <v>18.0</v>
      </c>
      <c r="Q34" s="63">
        <v>50.0</v>
      </c>
      <c r="R34" s="64">
        <f t="shared" si="4"/>
        <v>4.5</v>
      </c>
      <c r="S34" s="65">
        <v>6.981481481</v>
      </c>
      <c r="T34" s="30">
        <f t="shared" si="5"/>
        <v>37.21</v>
      </c>
      <c r="U34" s="80">
        <v>4.5</v>
      </c>
      <c r="V34" s="80">
        <v>4.5</v>
      </c>
      <c r="W34" s="80">
        <v>9.0</v>
      </c>
      <c r="X34" s="80">
        <v>3.0</v>
      </c>
      <c r="Y34" s="30">
        <f t="shared" si="6"/>
        <v>21</v>
      </c>
      <c r="Z34" s="30">
        <f t="shared" si="7"/>
        <v>15.75</v>
      </c>
      <c r="AA34" s="30">
        <f t="shared" si="8"/>
        <v>52.96</v>
      </c>
      <c r="AB34" s="66">
        <f t="shared" si="9"/>
        <v>53</v>
      </c>
      <c r="AD34" s="5">
        <v>1.0</v>
      </c>
      <c r="AE34" s="5">
        <v>1.5</v>
      </c>
      <c r="AF34" s="5">
        <v>2.0</v>
      </c>
      <c r="AG34" s="5">
        <v>3.0</v>
      </c>
    </row>
    <row r="35">
      <c r="A35" s="69" t="s">
        <v>238</v>
      </c>
      <c r="B35" s="20" t="s">
        <v>239</v>
      </c>
      <c r="C35" s="51">
        <v>10.0</v>
      </c>
      <c r="D35" s="51">
        <v>10.0</v>
      </c>
      <c r="E35" s="51">
        <v>3.5</v>
      </c>
      <c r="F35" s="51">
        <v>9.0</v>
      </c>
      <c r="G35" s="61">
        <f t="shared" si="1"/>
        <v>16.333</v>
      </c>
      <c r="H35" s="61">
        <v>6.0</v>
      </c>
      <c r="I35" s="61">
        <v>6.0</v>
      </c>
      <c r="J35" s="61">
        <v>6.0</v>
      </c>
      <c r="K35" s="61">
        <v>1.0</v>
      </c>
      <c r="L35" s="62">
        <f t="shared" si="10"/>
        <v>19</v>
      </c>
      <c r="M35" s="62">
        <f t="shared" si="3"/>
        <v>15.2</v>
      </c>
      <c r="N35" s="63">
        <v>40.0</v>
      </c>
      <c r="O35" s="63">
        <v>0.0</v>
      </c>
      <c r="P35" s="63">
        <v>10.0</v>
      </c>
      <c r="Q35" s="63">
        <v>20.0</v>
      </c>
      <c r="R35" s="64">
        <f t="shared" si="4"/>
        <v>1.92</v>
      </c>
      <c r="S35" s="65">
        <v>11.85185185</v>
      </c>
      <c r="T35" s="30">
        <f t="shared" si="5"/>
        <v>45.3</v>
      </c>
      <c r="U35" s="80">
        <v>2.5</v>
      </c>
      <c r="V35" s="80">
        <v>5.5</v>
      </c>
      <c r="W35" s="80">
        <v>9.0</v>
      </c>
      <c r="X35" s="80">
        <v>2.0</v>
      </c>
      <c r="Y35" s="30">
        <f t="shared" si="6"/>
        <v>19</v>
      </c>
      <c r="Z35" s="30">
        <f t="shared" si="7"/>
        <v>14.25</v>
      </c>
      <c r="AA35" s="30">
        <f t="shared" si="8"/>
        <v>59.55</v>
      </c>
      <c r="AB35" s="66">
        <f t="shared" si="9"/>
        <v>60</v>
      </c>
      <c r="AD35" s="5">
        <v>4.0</v>
      </c>
      <c r="AE35" s="5">
        <v>2.0</v>
      </c>
      <c r="AF35" s="5">
        <v>2.0</v>
      </c>
      <c r="AG35" s="5">
        <v>1.0</v>
      </c>
    </row>
    <row r="36">
      <c r="A36" s="69" t="s">
        <v>242</v>
      </c>
      <c r="B36" s="20" t="s">
        <v>243</v>
      </c>
      <c r="C36" s="51">
        <v>8.0</v>
      </c>
      <c r="D36" s="51">
        <v>7.5</v>
      </c>
      <c r="E36" s="51">
        <v>15.0</v>
      </c>
      <c r="F36" s="51">
        <v>0.0</v>
      </c>
      <c r="G36" s="61">
        <f t="shared" si="1"/>
        <v>17</v>
      </c>
      <c r="H36" s="61">
        <v>5.0</v>
      </c>
      <c r="I36" s="61">
        <v>0.0</v>
      </c>
      <c r="J36" s="61">
        <v>6.5</v>
      </c>
      <c r="K36" s="61">
        <v>5.5</v>
      </c>
      <c r="L36" s="62">
        <f t="shared" si="10"/>
        <v>17</v>
      </c>
      <c r="M36" s="62">
        <f t="shared" si="3"/>
        <v>13.6</v>
      </c>
      <c r="N36" s="63">
        <v>50.0</v>
      </c>
      <c r="O36" s="63">
        <v>50.0</v>
      </c>
      <c r="P36" s="63">
        <v>30.0</v>
      </c>
      <c r="Q36" s="63">
        <v>50.0</v>
      </c>
      <c r="R36" s="64">
        <f t="shared" si="4"/>
        <v>5</v>
      </c>
      <c r="S36" s="65">
        <v>11.11111111</v>
      </c>
      <c r="T36" s="30">
        <f t="shared" si="5"/>
        <v>46.71</v>
      </c>
      <c r="U36" s="80">
        <v>5.5</v>
      </c>
      <c r="V36" s="80">
        <v>8.5</v>
      </c>
      <c r="W36" s="80">
        <v>10.0</v>
      </c>
      <c r="X36" s="80">
        <v>4.0</v>
      </c>
      <c r="Y36" s="30">
        <f t="shared" si="6"/>
        <v>28</v>
      </c>
      <c r="Z36" s="30">
        <f t="shared" si="7"/>
        <v>21</v>
      </c>
      <c r="AA36" s="30">
        <f t="shared" si="8"/>
        <v>67.71</v>
      </c>
      <c r="AB36" s="66">
        <f t="shared" si="9"/>
        <v>68</v>
      </c>
      <c r="AD36" s="5">
        <v>4.0</v>
      </c>
      <c r="AE36" s="5">
        <v>2.5</v>
      </c>
      <c r="AF36" s="5">
        <v>2.0</v>
      </c>
      <c r="AG36" s="5">
        <v>3.5</v>
      </c>
    </row>
    <row r="37">
      <c r="A37" s="69" t="s">
        <v>246</v>
      </c>
      <c r="B37" s="20" t="s">
        <v>247</v>
      </c>
      <c r="C37" s="51">
        <v>4.0</v>
      </c>
      <c r="D37" s="51">
        <v>10.0</v>
      </c>
      <c r="E37" s="51">
        <v>9.5</v>
      </c>
      <c r="F37" s="51">
        <v>10.0</v>
      </c>
      <c r="G37" s="61">
        <f t="shared" si="1"/>
        <v>14.222</v>
      </c>
      <c r="H37" s="61">
        <v>3.0</v>
      </c>
      <c r="I37" s="61">
        <v>4.0</v>
      </c>
      <c r="J37" s="61">
        <v>6.5</v>
      </c>
      <c r="K37" s="61">
        <v>4.5</v>
      </c>
      <c r="L37" s="62">
        <f t="shared" si="10"/>
        <v>18</v>
      </c>
      <c r="M37" s="62">
        <f t="shared" si="3"/>
        <v>14.4</v>
      </c>
      <c r="N37" s="63">
        <v>50.0</v>
      </c>
      <c r="O37" s="63">
        <v>50.0</v>
      </c>
      <c r="P37" s="63">
        <v>30.0</v>
      </c>
      <c r="Q37" s="63">
        <v>50.0</v>
      </c>
      <c r="R37" s="64">
        <f t="shared" si="4"/>
        <v>5</v>
      </c>
      <c r="S37" s="65">
        <v>5.0</v>
      </c>
      <c r="T37" s="30">
        <f t="shared" si="5"/>
        <v>38.62</v>
      </c>
      <c r="U37" s="80">
        <v>5.5</v>
      </c>
      <c r="V37" s="80">
        <v>4.0</v>
      </c>
      <c r="W37" s="80">
        <v>5.0</v>
      </c>
      <c r="X37" s="80">
        <v>3.0</v>
      </c>
      <c r="Y37" s="30">
        <f t="shared" si="6"/>
        <v>17.5</v>
      </c>
      <c r="Z37" s="30">
        <f t="shared" si="7"/>
        <v>13.125</v>
      </c>
      <c r="AA37" s="30">
        <f t="shared" si="8"/>
        <v>51.745</v>
      </c>
      <c r="AB37" s="66">
        <f t="shared" si="9"/>
        <v>52</v>
      </c>
      <c r="AD37" s="5">
        <v>4.0</v>
      </c>
      <c r="AE37" s="5">
        <v>1.5</v>
      </c>
      <c r="AF37" s="5">
        <v>2.0</v>
      </c>
      <c r="AG37" s="5">
        <v>2.5</v>
      </c>
    </row>
    <row r="38">
      <c r="A38" s="69" t="s">
        <v>250</v>
      </c>
      <c r="B38" s="20" t="s">
        <v>251</v>
      </c>
      <c r="C38" s="51">
        <v>5.0</v>
      </c>
      <c r="D38" s="51">
        <v>9.0</v>
      </c>
      <c r="E38" s="51">
        <v>13.5</v>
      </c>
      <c r="F38" s="51">
        <v>15.0</v>
      </c>
      <c r="G38" s="61">
        <f t="shared" si="1"/>
        <v>17</v>
      </c>
      <c r="H38" s="61">
        <v>3.5</v>
      </c>
      <c r="I38" s="61">
        <v>2.0</v>
      </c>
      <c r="J38" s="61">
        <v>6.5</v>
      </c>
      <c r="K38" s="61">
        <v>4.0</v>
      </c>
      <c r="L38" s="62">
        <f t="shared" si="10"/>
        <v>16</v>
      </c>
      <c r="M38" s="62">
        <f t="shared" si="3"/>
        <v>12.8</v>
      </c>
      <c r="N38" s="63">
        <v>50.0</v>
      </c>
      <c r="O38" s="63">
        <v>50.0</v>
      </c>
      <c r="P38" s="63">
        <v>30.0</v>
      </c>
      <c r="Q38" s="63">
        <v>10.0</v>
      </c>
      <c r="R38" s="64">
        <f t="shared" si="4"/>
        <v>4</v>
      </c>
      <c r="S38" s="65">
        <v>6.25</v>
      </c>
      <c r="T38" s="30">
        <f t="shared" si="5"/>
        <v>40.05</v>
      </c>
      <c r="U38" s="80">
        <v>4.0</v>
      </c>
      <c r="V38" s="80">
        <v>6.0</v>
      </c>
      <c r="W38" s="80">
        <v>12.0</v>
      </c>
      <c r="X38" s="80">
        <v>5.5</v>
      </c>
      <c r="Y38" s="30">
        <f t="shared" si="6"/>
        <v>27.5</v>
      </c>
      <c r="Z38" s="30">
        <f t="shared" si="7"/>
        <v>20.625</v>
      </c>
      <c r="AA38" s="30">
        <f t="shared" si="8"/>
        <v>60.675</v>
      </c>
      <c r="AB38" s="66">
        <f t="shared" si="9"/>
        <v>61</v>
      </c>
      <c r="AD38" s="5">
        <v>4.0</v>
      </c>
      <c r="AE38" s="5">
        <v>2.5</v>
      </c>
      <c r="AF38" s="5">
        <v>2.0</v>
      </c>
      <c r="AG38" s="5">
        <v>2.0</v>
      </c>
    </row>
    <row r="39">
      <c r="A39" s="69" t="s">
        <v>254</v>
      </c>
      <c r="B39" s="20" t="s">
        <v>255</v>
      </c>
      <c r="C39" s="51">
        <v>10.0</v>
      </c>
      <c r="D39" s="51">
        <v>10.0</v>
      </c>
      <c r="E39" s="51">
        <v>11.0</v>
      </c>
      <c r="F39" s="75">
        <v>0.0</v>
      </c>
      <c r="G39" s="61">
        <f t="shared" si="1"/>
        <v>18.222</v>
      </c>
      <c r="H39" s="61">
        <v>4.0</v>
      </c>
      <c r="I39" s="61">
        <v>2.0</v>
      </c>
      <c r="J39" s="61">
        <v>5.0</v>
      </c>
      <c r="K39" s="61">
        <v>3.0</v>
      </c>
      <c r="L39" s="62">
        <f t="shared" si="10"/>
        <v>14</v>
      </c>
      <c r="M39" s="62">
        <f t="shared" si="3"/>
        <v>11.2</v>
      </c>
      <c r="N39" s="63">
        <v>50.0</v>
      </c>
      <c r="O39" s="63">
        <v>50.0</v>
      </c>
      <c r="P39" s="63">
        <v>0.0</v>
      </c>
      <c r="Q39" s="63">
        <v>50.0</v>
      </c>
      <c r="R39" s="64">
        <f t="shared" si="4"/>
        <v>3.75</v>
      </c>
      <c r="S39" s="65">
        <v>7.75</v>
      </c>
      <c r="T39" s="30">
        <f t="shared" si="5"/>
        <v>40.92</v>
      </c>
      <c r="U39" s="80">
        <v>4.0</v>
      </c>
      <c r="V39" s="80">
        <v>9.0</v>
      </c>
      <c r="W39" s="80">
        <v>10.0</v>
      </c>
      <c r="X39" s="80">
        <v>6.5</v>
      </c>
      <c r="Y39" s="30">
        <f t="shared" si="6"/>
        <v>29.5</v>
      </c>
      <c r="Z39" s="30">
        <f t="shared" si="7"/>
        <v>22.125</v>
      </c>
      <c r="AA39" s="30">
        <f t="shared" si="8"/>
        <v>63.045</v>
      </c>
      <c r="AB39" s="66">
        <f t="shared" si="9"/>
        <v>63</v>
      </c>
      <c r="AD39" s="5">
        <v>2.0</v>
      </c>
      <c r="AE39" s="5">
        <v>3.0</v>
      </c>
      <c r="AF39" s="5">
        <v>0.0</v>
      </c>
      <c r="AG39" s="5">
        <v>3.0</v>
      </c>
    </row>
    <row r="40">
      <c r="A40" s="69" t="s">
        <v>258</v>
      </c>
      <c r="B40" s="20" t="s">
        <v>259</v>
      </c>
      <c r="C40" s="83"/>
      <c r="D40" s="51">
        <v>10.0</v>
      </c>
      <c r="E40" s="51">
        <v>9.75</v>
      </c>
      <c r="F40" s="51">
        <v>18.0</v>
      </c>
      <c r="G40" s="61">
        <f t="shared" si="1"/>
        <v>17</v>
      </c>
      <c r="H40" s="61">
        <v>2.0</v>
      </c>
      <c r="I40" s="61">
        <v>2.0</v>
      </c>
      <c r="J40" s="61">
        <v>6.0</v>
      </c>
      <c r="K40" s="61">
        <v>0.0</v>
      </c>
      <c r="L40" s="62">
        <f t="shared" si="10"/>
        <v>10</v>
      </c>
      <c r="M40" s="62">
        <f t="shared" si="3"/>
        <v>8</v>
      </c>
      <c r="N40" s="63">
        <v>50.0</v>
      </c>
      <c r="O40" s="63">
        <v>50.0</v>
      </c>
      <c r="P40" s="63">
        <v>25.0</v>
      </c>
      <c r="Q40" s="63">
        <v>50.0</v>
      </c>
      <c r="R40" s="64">
        <f t="shared" si="4"/>
        <v>4.79</v>
      </c>
      <c r="S40" s="65">
        <v>5.0</v>
      </c>
      <c r="T40" s="30">
        <f t="shared" si="5"/>
        <v>34.79</v>
      </c>
      <c r="U40" s="80">
        <v>4.75</v>
      </c>
      <c r="V40" s="80">
        <v>4.0</v>
      </c>
      <c r="W40" s="80">
        <v>11.0</v>
      </c>
      <c r="X40" s="80">
        <v>3.5</v>
      </c>
      <c r="Y40" s="30">
        <f t="shared" si="6"/>
        <v>23.25</v>
      </c>
      <c r="Z40" s="30">
        <f t="shared" si="7"/>
        <v>17.4375</v>
      </c>
      <c r="AA40" s="30">
        <f t="shared" si="8"/>
        <v>52.2275</v>
      </c>
      <c r="AB40" s="66">
        <f t="shared" si="9"/>
        <v>52</v>
      </c>
      <c r="AD40" s="5">
        <v>4.0</v>
      </c>
      <c r="AE40" s="5">
        <v>2.0</v>
      </c>
      <c r="AF40" s="5">
        <v>0.0</v>
      </c>
      <c r="AG40" s="5">
        <v>0.0</v>
      </c>
    </row>
    <row r="41">
      <c r="S41" s="32">
        <f t="shared" ref="S41:S78" si="11">ROUND(S3,3)</f>
        <v>4.537</v>
      </c>
    </row>
    <row r="42">
      <c r="S42" s="32">
        <f t="shared" si="11"/>
        <v>6.5</v>
      </c>
    </row>
    <row r="43">
      <c r="S43" s="32">
        <f t="shared" si="11"/>
        <v>2.778</v>
      </c>
    </row>
    <row r="44">
      <c r="S44" s="32">
        <f t="shared" si="11"/>
        <v>5.944</v>
      </c>
    </row>
    <row r="45">
      <c r="S45" s="32">
        <f t="shared" si="11"/>
        <v>18</v>
      </c>
    </row>
    <row r="46">
      <c r="S46" s="32">
        <f t="shared" si="11"/>
        <v>0</v>
      </c>
    </row>
    <row r="47">
      <c r="S47" s="32">
        <f t="shared" si="11"/>
        <v>3.981</v>
      </c>
    </row>
    <row r="48">
      <c r="S48" s="32">
        <f t="shared" si="11"/>
        <v>2.222</v>
      </c>
    </row>
    <row r="49">
      <c r="S49" s="32">
        <f t="shared" si="11"/>
        <v>2.315</v>
      </c>
    </row>
    <row r="50">
      <c r="S50" s="32">
        <f t="shared" si="11"/>
        <v>7.5</v>
      </c>
    </row>
    <row r="51">
      <c r="S51" s="32">
        <f t="shared" si="11"/>
        <v>3.704</v>
      </c>
    </row>
    <row r="52">
      <c r="S52" s="32">
        <f t="shared" si="11"/>
        <v>1.481</v>
      </c>
    </row>
    <row r="53">
      <c r="S53" s="32">
        <f t="shared" si="11"/>
        <v>2.593</v>
      </c>
    </row>
    <row r="54">
      <c r="S54" s="32">
        <f t="shared" si="11"/>
        <v>23.5</v>
      </c>
    </row>
    <row r="55">
      <c r="S55" s="32">
        <f t="shared" si="11"/>
        <v>18</v>
      </c>
    </row>
    <row r="56">
      <c r="S56" s="32">
        <f t="shared" si="11"/>
        <v>17.407</v>
      </c>
    </row>
    <row r="57">
      <c r="S57" s="32">
        <f t="shared" si="11"/>
        <v>8.519</v>
      </c>
    </row>
    <row r="58">
      <c r="S58" s="32">
        <f t="shared" si="11"/>
        <v>11.352</v>
      </c>
    </row>
    <row r="59">
      <c r="S59" s="32">
        <f t="shared" si="11"/>
        <v>21</v>
      </c>
    </row>
    <row r="60">
      <c r="S60" s="32">
        <f t="shared" si="11"/>
        <v>23.5</v>
      </c>
    </row>
    <row r="61">
      <c r="S61" s="32">
        <f t="shared" si="11"/>
        <v>21</v>
      </c>
    </row>
    <row r="62">
      <c r="S62" s="32">
        <f t="shared" si="11"/>
        <v>17.75</v>
      </c>
    </row>
    <row r="63">
      <c r="S63" s="32">
        <f t="shared" si="11"/>
        <v>7.315</v>
      </c>
    </row>
    <row r="64">
      <c r="S64" s="32">
        <f t="shared" si="11"/>
        <v>16.472</v>
      </c>
    </row>
    <row r="65">
      <c r="S65" s="32">
        <f t="shared" si="11"/>
        <v>20</v>
      </c>
    </row>
    <row r="66">
      <c r="S66" s="32">
        <f t="shared" si="11"/>
        <v>25</v>
      </c>
    </row>
    <row r="67">
      <c r="S67" s="32">
        <f t="shared" si="11"/>
        <v>14.25</v>
      </c>
    </row>
    <row r="68">
      <c r="S68" s="32">
        <f t="shared" si="11"/>
        <v>5.278</v>
      </c>
    </row>
    <row r="69">
      <c r="S69" s="32">
        <f t="shared" si="11"/>
        <v>2.222</v>
      </c>
    </row>
    <row r="70">
      <c r="S70" s="32">
        <f t="shared" si="11"/>
        <v>16</v>
      </c>
    </row>
    <row r="71">
      <c r="S71" s="32">
        <f t="shared" si="11"/>
        <v>5</v>
      </c>
    </row>
    <row r="72">
      <c r="S72" s="32">
        <f t="shared" si="11"/>
        <v>6.981</v>
      </c>
    </row>
    <row r="73">
      <c r="S73" s="32">
        <f t="shared" si="11"/>
        <v>11.852</v>
      </c>
    </row>
    <row r="74">
      <c r="S74" s="32">
        <f t="shared" si="11"/>
        <v>11.111</v>
      </c>
    </row>
    <row r="75">
      <c r="S75" s="32">
        <f t="shared" si="11"/>
        <v>5</v>
      </c>
    </row>
    <row r="76">
      <c r="S76" s="32">
        <f t="shared" si="11"/>
        <v>6.25</v>
      </c>
    </row>
    <row r="77">
      <c r="S77" s="32">
        <f t="shared" si="11"/>
        <v>7.75</v>
      </c>
    </row>
    <row r="78">
      <c r="S78" s="32">
        <f t="shared" si="11"/>
        <v>5</v>
      </c>
    </row>
  </sheetData>
  <mergeCells count="2">
    <mergeCell ref="H1:M1"/>
    <mergeCell ref="U1:Z1"/>
  </mergeCells>
  <dataValidations>
    <dataValidation type="decimal" operator="greaterThanOrEqual" allowBlank="1" showDropDown="1" showInputMessage="1" prompt="Enter a number greater than or equal to 0" sqref="AD3:AG3">
      <formula1>0.0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86"/>
    <col customWidth="1" min="3" max="3" width="13.57"/>
    <col customWidth="1" hidden="1" min="4" max="4" width="44.57"/>
    <col customWidth="1" hidden="1" min="5" max="5" width="17.14"/>
    <col customWidth="1" min="6" max="34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1" t="s">
        <v>1</v>
      </c>
      <c r="B2" s="2"/>
      <c r="C2" s="2"/>
      <c r="D2" s="2"/>
      <c r="E2" s="3"/>
    </row>
    <row r="3" ht="14.25" customHeight="1">
      <c r="A3" s="4" t="s">
        <v>2</v>
      </c>
      <c r="B3" s="2"/>
      <c r="C3" s="2"/>
      <c r="D3" s="2"/>
      <c r="E3" s="3"/>
    </row>
    <row r="4" ht="14.25" customHeight="1">
      <c r="A4" s="4" t="s">
        <v>3</v>
      </c>
      <c r="B4" s="2"/>
      <c r="C4" s="2"/>
      <c r="D4" s="2"/>
      <c r="E4" s="3"/>
    </row>
    <row r="5" ht="14.25" customHeight="1">
      <c r="A5" s="4" t="s">
        <v>4</v>
      </c>
      <c r="B5" s="2"/>
      <c r="C5" s="2"/>
      <c r="D5" s="2"/>
      <c r="E5" s="3"/>
    </row>
    <row r="6" ht="14.25" customHeight="1">
      <c r="A6" s="4"/>
      <c r="B6" s="2"/>
      <c r="C6" s="2"/>
      <c r="D6" s="2"/>
      <c r="E6" s="3"/>
      <c r="N6" s="5" t="s">
        <v>5</v>
      </c>
      <c r="O6" s="6" t="s">
        <v>6</v>
      </c>
      <c r="P6" s="6" t="s">
        <v>6</v>
      </c>
      <c r="R6" s="5" t="s">
        <v>7</v>
      </c>
      <c r="S6" s="7" t="s">
        <v>8</v>
      </c>
      <c r="Z6" s="5" t="s">
        <v>9</v>
      </c>
      <c r="AB6" s="5" t="s">
        <v>10</v>
      </c>
      <c r="AD6" s="5" t="s">
        <v>11</v>
      </c>
    </row>
    <row r="7" ht="14.25" customHeight="1">
      <c r="A7" s="8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10">
        <v>46183.0</v>
      </c>
      <c r="G7" s="10">
        <v>46188.0</v>
      </c>
      <c r="H7" s="10">
        <v>46190.0</v>
      </c>
      <c r="I7" s="10">
        <v>46195.0</v>
      </c>
      <c r="J7" s="10">
        <v>46197.0</v>
      </c>
      <c r="K7" s="10">
        <v>46202.0</v>
      </c>
      <c r="L7" s="10">
        <v>46204.0</v>
      </c>
      <c r="M7" s="10">
        <v>46209.0</v>
      </c>
      <c r="N7" s="10">
        <v>46211.0</v>
      </c>
      <c r="O7" s="10">
        <v>46216.0</v>
      </c>
      <c r="P7" s="10">
        <v>46218.0</v>
      </c>
      <c r="Q7" s="10">
        <v>46223.0</v>
      </c>
      <c r="R7" s="10">
        <v>46225.0</v>
      </c>
      <c r="S7" s="10">
        <v>46230.0</v>
      </c>
      <c r="T7" s="10">
        <v>46232.0</v>
      </c>
      <c r="U7" s="10">
        <v>46237.0</v>
      </c>
      <c r="V7" s="10">
        <v>46243.0</v>
      </c>
      <c r="W7" s="10">
        <v>46244.0</v>
      </c>
      <c r="X7" s="10">
        <v>46246.0</v>
      </c>
      <c r="Y7" s="10">
        <v>46251.0</v>
      </c>
      <c r="Z7" s="10">
        <v>46253.0</v>
      </c>
      <c r="AA7" s="10">
        <v>46258.0</v>
      </c>
      <c r="AB7" s="12">
        <v>46260.0</v>
      </c>
      <c r="AC7" s="10">
        <v>46265.0</v>
      </c>
      <c r="AD7" s="12">
        <v>46267.0</v>
      </c>
      <c r="AE7" s="10">
        <v>46272.0</v>
      </c>
      <c r="AF7" s="5" t="s">
        <v>18</v>
      </c>
      <c r="AG7" s="6" t="s">
        <v>19</v>
      </c>
      <c r="AH7" s="6" t="s">
        <v>20</v>
      </c>
    </row>
    <row r="8" ht="14.25" customHeight="1">
      <c r="A8" s="15" t="s">
        <v>21</v>
      </c>
      <c r="B8" s="20" t="s">
        <v>22</v>
      </c>
      <c r="C8" s="20" t="s">
        <v>25</v>
      </c>
      <c r="D8" s="20" t="s">
        <v>26</v>
      </c>
      <c r="E8" s="20" t="s">
        <v>27</v>
      </c>
      <c r="F8" s="5">
        <v>1.0</v>
      </c>
      <c r="G8" s="5">
        <v>0.0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5">
        <v>1.0</v>
      </c>
      <c r="N8" s="23">
        <v>0.0</v>
      </c>
      <c r="O8" s="5">
        <v>1.0</v>
      </c>
      <c r="P8" s="5">
        <v>1.0</v>
      </c>
      <c r="Q8" s="5">
        <v>1.0</v>
      </c>
      <c r="R8" s="5">
        <v>1.0</v>
      </c>
      <c r="U8" s="5">
        <v>1.0</v>
      </c>
      <c r="V8" s="5">
        <v>1.0</v>
      </c>
      <c r="W8" s="5">
        <v>0.0</v>
      </c>
      <c r="X8" s="5">
        <v>0.0</v>
      </c>
      <c r="Y8" s="5">
        <v>1.0</v>
      </c>
      <c r="Z8" s="25">
        <v>0.0</v>
      </c>
      <c r="AA8" s="5">
        <v>1.0</v>
      </c>
      <c r="AB8" s="5">
        <v>1.0</v>
      </c>
      <c r="AC8" s="5">
        <v>1.0</v>
      </c>
      <c r="AE8" s="5">
        <v>0.0</v>
      </c>
      <c r="AF8" s="5">
        <v>1.0</v>
      </c>
      <c r="AG8" s="32">
        <f t="shared" ref="AG8:AG45" si="1">SUM(F8:R8,U8:AF8)</f>
        <v>17</v>
      </c>
      <c r="AH8" s="32">
        <f t="shared" ref="AH8:AH45" si="2">ROUND((AG8/22)*100,2)</f>
        <v>77.27</v>
      </c>
    </row>
    <row r="9" ht="14.25" customHeight="1">
      <c r="A9" s="20" t="s">
        <v>32</v>
      </c>
      <c r="B9" s="20" t="s">
        <v>33</v>
      </c>
      <c r="C9" s="20" t="s">
        <v>25</v>
      </c>
      <c r="D9" s="20" t="s">
        <v>35</v>
      </c>
      <c r="E9" s="20" t="s">
        <v>36</v>
      </c>
      <c r="F9" s="5">
        <v>1.0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1.0</v>
      </c>
      <c r="M9" s="5">
        <v>1.0</v>
      </c>
      <c r="N9" s="23">
        <v>1.0</v>
      </c>
      <c r="O9" s="5">
        <v>1.0</v>
      </c>
      <c r="P9" s="5">
        <v>0.0</v>
      </c>
      <c r="Q9" s="5">
        <v>1.0</v>
      </c>
      <c r="R9" s="5">
        <v>1.0</v>
      </c>
      <c r="U9" s="5">
        <v>1.0</v>
      </c>
      <c r="V9" s="5">
        <v>1.0</v>
      </c>
      <c r="W9" s="5">
        <v>1.0</v>
      </c>
      <c r="X9" s="5">
        <v>1.0</v>
      </c>
      <c r="Y9" s="5">
        <v>0.0</v>
      </c>
      <c r="Z9" s="25">
        <v>0.0</v>
      </c>
      <c r="AA9" s="5">
        <v>0.0</v>
      </c>
      <c r="AB9" s="5">
        <v>1.0</v>
      </c>
      <c r="AC9" s="5">
        <v>0.0</v>
      </c>
      <c r="AE9" s="5">
        <v>0.0</v>
      </c>
      <c r="AF9" s="5">
        <v>0.0</v>
      </c>
      <c r="AG9" s="32">
        <f t="shared" si="1"/>
        <v>17</v>
      </c>
      <c r="AH9" s="32">
        <f t="shared" si="2"/>
        <v>77.27</v>
      </c>
    </row>
    <row r="10" ht="14.25" customHeight="1">
      <c r="A10" s="20" t="s">
        <v>46</v>
      </c>
      <c r="B10" s="20" t="s">
        <v>47</v>
      </c>
      <c r="C10" s="20" t="s">
        <v>25</v>
      </c>
      <c r="D10" s="20" t="s">
        <v>50</v>
      </c>
      <c r="E10" s="20" t="s">
        <v>52</v>
      </c>
      <c r="F10" s="5">
        <v>1.0</v>
      </c>
      <c r="G10" s="5">
        <v>1.0</v>
      </c>
      <c r="H10" s="5">
        <v>0.0</v>
      </c>
      <c r="I10" s="5">
        <v>1.0</v>
      </c>
      <c r="K10" s="5">
        <v>0.0</v>
      </c>
      <c r="L10" s="5">
        <v>0.0</v>
      </c>
      <c r="M10" s="5">
        <v>0.0</v>
      </c>
      <c r="N10" s="23">
        <v>0.0</v>
      </c>
      <c r="O10" s="5">
        <v>1.0</v>
      </c>
      <c r="P10" s="5">
        <v>0.0</v>
      </c>
      <c r="Q10" s="5">
        <v>0.0</v>
      </c>
      <c r="R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25">
        <v>0.0</v>
      </c>
      <c r="AA10" s="5">
        <v>0.0</v>
      </c>
      <c r="AB10" s="5">
        <v>1.0</v>
      </c>
      <c r="AC10" s="5">
        <v>0.0</v>
      </c>
      <c r="AE10" s="5">
        <v>0.0</v>
      </c>
      <c r="AF10" s="5">
        <v>0.0</v>
      </c>
      <c r="AG10" s="32">
        <f t="shared" si="1"/>
        <v>5</v>
      </c>
      <c r="AH10" s="32">
        <f t="shared" si="2"/>
        <v>22.73</v>
      </c>
    </row>
    <row r="11" ht="14.25" customHeight="1">
      <c r="A11" s="20" t="s">
        <v>60</v>
      </c>
      <c r="B11" s="20" t="s">
        <v>61</v>
      </c>
      <c r="C11" s="20" t="s">
        <v>25</v>
      </c>
      <c r="D11" s="20" t="s">
        <v>68</v>
      </c>
      <c r="E11" s="20" t="s">
        <v>70</v>
      </c>
      <c r="F11" s="5">
        <v>1.0</v>
      </c>
      <c r="G11" s="5">
        <v>1.0</v>
      </c>
      <c r="H11" s="5">
        <v>1.0</v>
      </c>
      <c r="I11" s="5">
        <v>1.0</v>
      </c>
      <c r="J11" s="5">
        <v>0.0</v>
      </c>
      <c r="K11" s="5">
        <v>0.0</v>
      </c>
      <c r="L11" s="5">
        <v>1.0</v>
      </c>
      <c r="M11" s="5">
        <v>1.0</v>
      </c>
      <c r="N11" s="23">
        <v>1.0</v>
      </c>
      <c r="O11" s="5">
        <v>1.0</v>
      </c>
      <c r="P11" s="5">
        <v>0.0</v>
      </c>
      <c r="Q11" s="5">
        <v>0.0</v>
      </c>
      <c r="R11" s="5">
        <v>1.0</v>
      </c>
      <c r="U11" s="5">
        <v>1.0</v>
      </c>
      <c r="V11" s="5">
        <v>0.0</v>
      </c>
      <c r="W11" s="5">
        <v>1.0</v>
      </c>
      <c r="X11" s="5">
        <v>1.0</v>
      </c>
      <c r="Y11" s="5">
        <v>0.0</v>
      </c>
      <c r="Z11" s="25">
        <v>1.0</v>
      </c>
      <c r="AA11" s="5">
        <v>1.0</v>
      </c>
      <c r="AB11" s="5">
        <v>1.0</v>
      </c>
      <c r="AC11" s="5">
        <v>0.0</v>
      </c>
      <c r="AE11" s="5">
        <v>0.0</v>
      </c>
      <c r="AF11" s="5">
        <v>0.0</v>
      </c>
      <c r="AG11" s="32">
        <f t="shared" si="1"/>
        <v>15</v>
      </c>
      <c r="AH11" s="32">
        <f t="shared" si="2"/>
        <v>68.18</v>
      </c>
    </row>
    <row r="12" ht="14.25" customHeight="1">
      <c r="A12" s="20" t="s">
        <v>74</v>
      </c>
      <c r="B12" s="20" t="s">
        <v>75</v>
      </c>
      <c r="C12" s="20" t="s">
        <v>25</v>
      </c>
      <c r="D12" s="20" t="s">
        <v>76</v>
      </c>
      <c r="E12" s="20" t="s">
        <v>77</v>
      </c>
      <c r="F12" s="5">
        <v>1.0</v>
      </c>
      <c r="G12" s="5">
        <v>0.0</v>
      </c>
      <c r="H12" s="5">
        <v>1.0</v>
      </c>
      <c r="I12" s="5">
        <v>1.0</v>
      </c>
      <c r="J12" s="5">
        <v>1.0</v>
      </c>
      <c r="K12" s="5">
        <v>1.0</v>
      </c>
      <c r="L12" s="5">
        <v>1.0</v>
      </c>
      <c r="M12" s="5">
        <v>1.0</v>
      </c>
      <c r="N12" s="23">
        <v>1.0</v>
      </c>
      <c r="O12" s="5">
        <v>1.0</v>
      </c>
      <c r="P12" s="5">
        <v>0.0</v>
      </c>
      <c r="Q12" s="5">
        <v>0.0</v>
      </c>
      <c r="R12" s="5">
        <v>1.0</v>
      </c>
      <c r="U12" s="5">
        <v>1.0</v>
      </c>
      <c r="V12" s="5">
        <v>1.0</v>
      </c>
      <c r="W12" s="5">
        <v>1.0</v>
      </c>
      <c r="X12" s="5">
        <v>1.0</v>
      </c>
      <c r="Y12" s="5">
        <v>1.0</v>
      </c>
      <c r="Z12" s="25">
        <v>1.0</v>
      </c>
      <c r="AA12" s="5">
        <v>1.0</v>
      </c>
      <c r="AB12" s="5">
        <v>1.0</v>
      </c>
      <c r="AC12" s="5">
        <v>1.0</v>
      </c>
      <c r="AE12" s="5">
        <v>0.0</v>
      </c>
      <c r="AF12" s="5">
        <v>0.0</v>
      </c>
      <c r="AG12" s="32">
        <f t="shared" si="1"/>
        <v>19</v>
      </c>
      <c r="AH12" s="32">
        <f t="shared" si="2"/>
        <v>86.36</v>
      </c>
    </row>
    <row r="13" ht="14.25" customHeight="1">
      <c r="A13" s="20" t="s">
        <v>85</v>
      </c>
      <c r="B13" s="20" t="s">
        <v>87</v>
      </c>
      <c r="C13" s="20" t="s">
        <v>88</v>
      </c>
      <c r="D13" s="20" t="s">
        <v>89</v>
      </c>
      <c r="E13" s="20" t="s">
        <v>90</v>
      </c>
      <c r="F13" s="5">
        <v>1.0</v>
      </c>
      <c r="G13" s="5">
        <v>0.0</v>
      </c>
      <c r="H13" s="5">
        <v>0.0</v>
      </c>
      <c r="I13" s="5">
        <v>0.0</v>
      </c>
      <c r="J13" s="5">
        <v>1.0</v>
      </c>
      <c r="K13" s="5">
        <v>1.0</v>
      </c>
      <c r="L13" s="5">
        <v>1.0</v>
      </c>
      <c r="M13" s="5">
        <v>1.0</v>
      </c>
      <c r="N13" s="23">
        <v>0.0</v>
      </c>
      <c r="O13" s="5">
        <v>1.0</v>
      </c>
      <c r="P13" s="5">
        <v>0.0</v>
      </c>
      <c r="Q13" s="5">
        <v>0.0</v>
      </c>
      <c r="R13" s="5">
        <v>0.0</v>
      </c>
      <c r="U13" s="5">
        <v>1.0</v>
      </c>
      <c r="V13" s="5">
        <v>1.0</v>
      </c>
      <c r="W13" s="5">
        <v>0.0</v>
      </c>
      <c r="X13" s="5">
        <v>0.0</v>
      </c>
      <c r="Y13" s="5">
        <v>1.0</v>
      </c>
      <c r="Z13" s="25">
        <v>0.0</v>
      </c>
      <c r="AA13" s="5">
        <v>0.0</v>
      </c>
      <c r="AB13" s="5">
        <v>1.0</v>
      </c>
      <c r="AC13" s="5">
        <v>0.0</v>
      </c>
      <c r="AE13" s="5">
        <v>0.0</v>
      </c>
      <c r="AF13" s="5">
        <v>0.0</v>
      </c>
      <c r="AG13" s="32">
        <f t="shared" si="1"/>
        <v>10</v>
      </c>
      <c r="AH13" s="32">
        <f t="shared" si="2"/>
        <v>45.45</v>
      </c>
    </row>
    <row r="14" ht="14.25" customHeight="1">
      <c r="A14" s="20" t="s">
        <v>94</v>
      </c>
      <c r="B14" s="20" t="s">
        <v>95</v>
      </c>
      <c r="C14" s="20" t="s">
        <v>25</v>
      </c>
      <c r="D14" s="20" t="s">
        <v>96</v>
      </c>
      <c r="E14" s="20" t="s">
        <v>98</v>
      </c>
      <c r="F14" s="5">
        <v>1.0</v>
      </c>
      <c r="G14" s="5">
        <v>1.0</v>
      </c>
      <c r="H14" s="5">
        <v>1.0</v>
      </c>
      <c r="I14" s="5">
        <v>1.0</v>
      </c>
      <c r="J14" s="5">
        <v>1.0</v>
      </c>
      <c r="K14" s="5">
        <v>1.0</v>
      </c>
      <c r="L14" s="5">
        <v>0.0</v>
      </c>
      <c r="M14" s="5">
        <v>1.0</v>
      </c>
      <c r="N14" s="23">
        <v>1.0</v>
      </c>
      <c r="O14" s="5">
        <v>1.0</v>
      </c>
      <c r="P14" s="5">
        <v>1.0</v>
      </c>
      <c r="Q14" s="5">
        <v>0.0</v>
      </c>
      <c r="R14" s="5">
        <v>1.0</v>
      </c>
      <c r="U14" s="5">
        <v>1.0</v>
      </c>
      <c r="V14" s="5">
        <v>0.0</v>
      </c>
      <c r="W14" s="5">
        <v>1.0</v>
      </c>
      <c r="X14" s="5">
        <v>1.0</v>
      </c>
      <c r="Y14" s="5">
        <v>0.0</v>
      </c>
      <c r="Z14" s="25">
        <v>0.0</v>
      </c>
      <c r="AA14" s="5">
        <v>0.0</v>
      </c>
      <c r="AB14" s="5">
        <v>1.0</v>
      </c>
      <c r="AC14" s="5">
        <v>0.0</v>
      </c>
      <c r="AE14" s="5">
        <v>0.0</v>
      </c>
      <c r="AF14" s="5">
        <v>1.0</v>
      </c>
      <c r="AG14" s="32">
        <f t="shared" si="1"/>
        <v>16</v>
      </c>
      <c r="AH14" s="32">
        <f t="shared" si="2"/>
        <v>72.73</v>
      </c>
    </row>
    <row r="15" ht="14.25" customHeight="1">
      <c r="A15" s="20" t="s">
        <v>103</v>
      </c>
      <c r="B15" s="20" t="s">
        <v>104</v>
      </c>
      <c r="C15" s="20" t="s">
        <v>88</v>
      </c>
      <c r="D15" s="20" t="s">
        <v>106</v>
      </c>
      <c r="E15" s="20" t="s">
        <v>107</v>
      </c>
      <c r="F15" s="5">
        <v>1.0</v>
      </c>
      <c r="G15" s="5">
        <v>1.0</v>
      </c>
      <c r="H15" s="5">
        <v>0.0</v>
      </c>
      <c r="I15" s="5">
        <v>0.0</v>
      </c>
      <c r="J15" s="5">
        <v>1.0</v>
      </c>
      <c r="K15" s="5">
        <v>1.0</v>
      </c>
      <c r="L15" s="5">
        <v>1.0</v>
      </c>
      <c r="M15" s="5">
        <v>0.0</v>
      </c>
      <c r="N15" s="23">
        <v>0.0</v>
      </c>
      <c r="O15" s="5">
        <v>1.0</v>
      </c>
      <c r="P15" s="5">
        <v>0.0</v>
      </c>
      <c r="Q15" s="5">
        <v>1.0</v>
      </c>
      <c r="R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25">
        <v>0.0</v>
      </c>
      <c r="AA15" s="5">
        <v>0.0</v>
      </c>
      <c r="AB15" s="5">
        <v>1.0</v>
      </c>
      <c r="AC15" s="5">
        <v>0.0</v>
      </c>
      <c r="AE15" s="5">
        <v>0.0</v>
      </c>
      <c r="AF15" s="5">
        <v>0.0</v>
      </c>
      <c r="AG15" s="32">
        <f t="shared" si="1"/>
        <v>8</v>
      </c>
      <c r="AH15" s="32">
        <f t="shared" si="2"/>
        <v>36.36</v>
      </c>
    </row>
    <row r="16" ht="14.25" customHeight="1">
      <c r="A16" s="20" t="s">
        <v>112</v>
      </c>
      <c r="B16" s="20" t="s">
        <v>113</v>
      </c>
      <c r="C16" s="20" t="s">
        <v>25</v>
      </c>
      <c r="D16" s="20" t="s">
        <v>114</v>
      </c>
      <c r="E16" s="20" t="s">
        <v>116</v>
      </c>
      <c r="F16" s="5">
        <v>1.0</v>
      </c>
      <c r="G16" s="5">
        <v>1.0</v>
      </c>
      <c r="H16" s="5">
        <v>0.0</v>
      </c>
      <c r="I16" s="5">
        <v>0.0</v>
      </c>
      <c r="J16" s="5">
        <v>0.0</v>
      </c>
      <c r="K16" s="5">
        <v>1.0</v>
      </c>
      <c r="L16" s="5">
        <v>1.0</v>
      </c>
      <c r="M16" s="5">
        <v>0.0</v>
      </c>
      <c r="N16" s="23">
        <v>0.0</v>
      </c>
      <c r="O16" s="5">
        <v>1.0</v>
      </c>
      <c r="P16" s="5">
        <v>0.0</v>
      </c>
      <c r="Q16" s="5">
        <v>0.0</v>
      </c>
      <c r="R16" s="5">
        <v>1.0</v>
      </c>
      <c r="U16" s="5">
        <v>1.0</v>
      </c>
      <c r="V16" s="5">
        <v>1.0</v>
      </c>
      <c r="W16" s="5">
        <v>1.0</v>
      </c>
      <c r="X16" s="5">
        <v>0.0</v>
      </c>
      <c r="Y16" s="5">
        <v>1.0</v>
      </c>
      <c r="Z16" s="25">
        <v>1.0</v>
      </c>
      <c r="AA16" s="5">
        <v>1.0</v>
      </c>
      <c r="AB16" s="5">
        <v>1.0</v>
      </c>
      <c r="AC16" s="5">
        <v>1.0</v>
      </c>
      <c r="AE16" s="5">
        <v>1.0</v>
      </c>
      <c r="AF16" s="5">
        <v>0.0</v>
      </c>
      <c r="AG16" s="32">
        <f t="shared" si="1"/>
        <v>15</v>
      </c>
      <c r="AH16" s="32">
        <f t="shared" si="2"/>
        <v>68.18</v>
      </c>
    </row>
    <row r="17" ht="14.25" customHeight="1">
      <c r="A17" s="20" t="s">
        <v>122</v>
      </c>
      <c r="B17" s="20" t="s">
        <v>123</v>
      </c>
      <c r="C17" s="20" t="s">
        <v>25</v>
      </c>
      <c r="D17" s="20" t="s">
        <v>124</v>
      </c>
      <c r="E17" s="20" t="s">
        <v>125</v>
      </c>
      <c r="F17" s="5">
        <v>1.0</v>
      </c>
      <c r="G17" s="5">
        <v>0.0</v>
      </c>
      <c r="H17" s="5">
        <v>1.0</v>
      </c>
      <c r="I17" s="5">
        <v>0.0</v>
      </c>
      <c r="J17" s="5">
        <v>0.0</v>
      </c>
      <c r="K17" s="5">
        <v>1.0</v>
      </c>
      <c r="L17" s="5">
        <v>1.0</v>
      </c>
      <c r="M17" s="5">
        <v>0.0</v>
      </c>
      <c r="N17" s="23">
        <v>1.0</v>
      </c>
      <c r="O17" s="5">
        <v>1.0</v>
      </c>
      <c r="P17" s="5">
        <v>1.0</v>
      </c>
      <c r="Q17" s="5">
        <v>0.0</v>
      </c>
      <c r="R17" s="5">
        <v>0.0</v>
      </c>
      <c r="U17" s="5">
        <v>1.0</v>
      </c>
      <c r="V17" s="5">
        <v>1.0</v>
      </c>
      <c r="W17" s="5">
        <v>0.0</v>
      </c>
      <c r="X17" s="5">
        <v>1.0</v>
      </c>
      <c r="Y17" s="5">
        <v>1.0</v>
      </c>
      <c r="Z17" s="25">
        <v>1.0</v>
      </c>
      <c r="AA17" s="5">
        <v>1.0</v>
      </c>
      <c r="AB17" s="5">
        <v>1.0</v>
      </c>
      <c r="AC17" s="5">
        <v>1.0</v>
      </c>
      <c r="AE17" s="5">
        <v>1.0</v>
      </c>
      <c r="AF17" s="5">
        <v>1.0</v>
      </c>
      <c r="AG17" s="32">
        <f t="shared" si="1"/>
        <v>17</v>
      </c>
      <c r="AH17" s="32">
        <f t="shared" si="2"/>
        <v>77.27</v>
      </c>
    </row>
    <row r="18" ht="14.25" customHeight="1">
      <c r="A18" s="20" t="s">
        <v>127</v>
      </c>
      <c r="B18" s="20" t="s">
        <v>128</v>
      </c>
      <c r="C18" s="20" t="s">
        <v>25</v>
      </c>
      <c r="D18" s="20" t="s">
        <v>129</v>
      </c>
      <c r="E18" s="20" t="s">
        <v>130</v>
      </c>
      <c r="F18" s="5">
        <v>1.0</v>
      </c>
      <c r="G18" s="5">
        <v>0.0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0.0</v>
      </c>
      <c r="N18" s="23">
        <v>0.0</v>
      </c>
      <c r="O18" s="5">
        <v>1.0</v>
      </c>
      <c r="P18" s="5">
        <v>0.0</v>
      </c>
      <c r="Q18" s="5">
        <v>0.0</v>
      </c>
      <c r="R18" s="5">
        <v>0.0</v>
      </c>
      <c r="U18" s="5">
        <v>0.0</v>
      </c>
      <c r="V18" s="5">
        <v>1.0</v>
      </c>
      <c r="W18" s="5">
        <v>0.0</v>
      </c>
      <c r="X18" s="5">
        <v>0.0</v>
      </c>
      <c r="Y18" s="5">
        <v>1.0</v>
      </c>
      <c r="Z18" s="25">
        <v>0.0</v>
      </c>
      <c r="AA18" s="5">
        <v>0.0</v>
      </c>
      <c r="AB18" s="5">
        <v>1.0</v>
      </c>
      <c r="AC18" s="5">
        <v>0.0</v>
      </c>
      <c r="AE18" s="5">
        <v>0.0</v>
      </c>
      <c r="AF18" s="5">
        <v>0.0</v>
      </c>
      <c r="AG18" s="32">
        <f t="shared" si="1"/>
        <v>10</v>
      </c>
      <c r="AH18" s="32">
        <f t="shared" si="2"/>
        <v>45.45</v>
      </c>
    </row>
    <row r="19" ht="14.25" customHeight="1">
      <c r="A19" s="20" t="s">
        <v>132</v>
      </c>
      <c r="B19" s="20" t="s">
        <v>134</v>
      </c>
      <c r="C19" s="20" t="s">
        <v>88</v>
      </c>
      <c r="D19" s="20" t="s">
        <v>135</v>
      </c>
      <c r="E19" s="20" t="s">
        <v>136</v>
      </c>
      <c r="F19" s="5">
        <v>1.0</v>
      </c>
      <c r="G19" s="5">
        <v>1.0</v>
      </c>
      <c r="H19" s="5">
        <v>1.0</v>
      </c>
      <c r="I19" s="5">
        <v>1.0</v>
      </c>
      <c r="J19" s="5">
        <v>0.0</v>
      </c>
      <c r="K19" s="5">
        <v>1.0</v>
      </c>
      <c r="L19" s="5">
        <v>1.0</v>
      </c>
      <c r="M19" s="5">
        <v>0.0</v>
      </c>
      <c r="N19" s="23">
        <v>0.0</v>
      </c>
      <c r="O19" s="5">
        <v>1.0</v>
      </c>
      <c r="P19" s="5">
        <v>0.0</v>
      </c>
      <c r="Q19" s="5">
        <v>0.0</v>
      </c>
      <c r="R19" s="5">
        <v>0.0</v>
      </c>
      <c r="U19" s="5">
        <v>0.0</v>
      </c>
      <c r="V19" s="5">
        <v>1.0</v>
      </c>
      <c r="W19" s="5">
        <v>1.0</v>
      </c>
      <c r="X19" s="5">
        <v>1.0</v>
      </c>
      <c r="Y19" s="5">
        <v>1.0</v>
      </c>
      <c r="Z19" s="25">
        <v>1.0</v>
      </c>
      <c r="AA19" s="5">
        <v>1.0</v>
      </c>
      <c r="AB19" s="5">
        <v>1.0</v>
      </c>
      <c r="AC19" s="5">
        <v>1.0</v>
      </c>
      <c r="AE19" s="5">
        <v>0.0</v>
      </c>
      <c r="AF19" s="5">
        <v>0.0</v>
      </c>
      <c r="AG19" s="32">
        <f t="shared" si="1"/>
        <v>15</v>
      </c>
      <c r="AH19" s="32">
        <f t="shared" si="2"/>
        <v>68.18</v>
      </c>
    </row>
    <row r="20" ht="14.25" customHeight="1">
      <c r="A20" s="20" t="s">
        <v>138</v>
      </c>
      <c r="B20" s="20" t="s">
        <v>139</v>
      </c>
      <c r="C20" s="20" t="s">
        <v>88</v>
      </c>
      <c r="D20" s="20" t="s">
        <v>140</v>
      </c>
      <c r="E20" s="20" t="s">
        <v>141</v>
      </c>
      <c r="F20" s="5">
        <v>1.0</v>
      </c>
      <c r="G20" s="5">
        <v>0.0</v>
      </c>
      <c r="H20" s="5">
        <v>0.0</v>
      </c>
      <c r="I20" s="5">
        <v>1.0</v>
      </c>
      <c r="J20" s="5">
        <v>1.0</v>
      </c>
      <c r="K20" s="5">
        <v>1.0</v>
      </c>
      <c r="L20" s="5">
        <v>1.0</v>
      </c>
      <c r="M20" s="5">
        <v>0.0</v>
      </c>
      <c r="N20" s="23">
        <v>1.0</v>
      </c>
      <c r="O20" s="5">
        <v>1.0</v>
      </c>
      <c r="P20" s="5">
        <v>0.0</v>
      </c>
      <c r="Q20" s="5">
        <v>1.0</v>
      </c>
      <c r="R20" s="5">
        <v>1.0</v>
      </c>
      <c r="U20" s="5">
        <v>1.0</v>
      </c>
      <c r="V20" s="5">
        <v>1.0</v>
      </c>
      <c r="W20" s="5">
        <v>1.0</v>
      </c>
      <c r="X20" s="5">
        <v>1.0</v>
      </c>
      <c r="Y20" s="5">
        <v>0.0</v>
      </c>
      <c r="Z20" s="25">
        <v>1.0</v>
      </c>
      <c r="AA20" s="5">
        <v>1.0</v>
      </c>
      <c r="AB20" s="5">
        <v>1.0</v>
      </c>
      <c r="AC20" s="5">
        <v>0.0</v>
      </c>
      <c r="AE20" s="5">
        <v>0.0</v>
      </c>
      <c r="AF20" s="5">
        <v>0.0</v>
      </c>
      <c r="AG20" s="32">
        <f t="shared" si="1"/>
        <v>16</v>
      </c>
      <c r="AH20" s="32">
        <f t="shared" si="2"/>
        <v>72.73</v>
      </c>
    </row>
    <row r="21" ht="14.25" customHeight="1">
      <c r="A21" s="20" t="s">
        <v>144</v>
      </c>
      <c r="B21" s="20" t="s">
        <v>146</v>
      </c>
      <c r="C21" s="20" t="s">
        <v>25</v>
      </c>
      <c r="D21" s="20" t="s">
        <v>147</v>
      </c>
      <c r="E21" s="20" t="s">
        <v>148</v>
      </c>
      <c r="F21" s="5">
        <v>1.0</v>
      </c>
      <c r="G21" s="5">
        <v>1.0</v>
      </c>
      <c r="H21" s="5">
        <v>1.0</v>
      </c>
      <c r="I21" s="5">
        <v>1.0</v>
      </c>
      <c r="J21" s="5">
        <v>1.0</v>
      </c>
      <c r="K21" s="5">
        <v>1.0</v>
      </c>
      <c r="L21" s="5">
        <v>1.0</v>
      </c>
      <c r="M21" s="5">
        <v>0.0</v>
      </c>
      <c r="N21" s="23">
        <v>1.0</v>
      </c>
      <c r="O21" s="5">
        <v>1.0</v>
      </c>
      <c r="P21" s="5">
        <v>1.0</v>
      </c>
      <c r="Q21" s="5">
        <v>1.0</v>
      </c>
      <c r="R21" s="5">
        <v>1.0</v>
      </c>
      <c r="U21" s="5">
        <v>1.0</v>
      </c>
      <c r="V21" s="5">
        <v>1.0</v>
      </c>
      <c r="W21" s="5">
        <v>1.0</v>
      </c>
      <c r="X21" s="5">
        <v>1.0</v>
      </c>
      <c r="Y21" s="5">
        <v>1.0</v>
      </c>
      <c r="Z21" s="25">
        <v>1.0</v>
      </c>
      <c r="AA21" s="5">
        <v>1.0</v>
      </c>
      <c r="AB21" s="5">
        <v>1.0</v>
      </c>
      <c r="AC21" s="5">
        <v>1.0</v>
      </c>
      <c r="AE21" s="5">
        <v>0.0</v>
      </c>
      <c r="AF21" s="5">
        <v>1.0</v>
      </c>
      <c r="AG21" s="32">
        <f t="shared" si="1"/>
        <v>22</v>
      </c>
      <c r="AH21" s="32">
        <f t="shared" si="2"/>
        <v>100</v>
      </c>
    </row>
    <row r="22" ht="14.25" customHeight="1">
      <c r="A22" s="20" t="s">
        <v>153</v>
      </c>
      <c r="B22" s="20" t="s">
        <v>154</v>
      </c>
      <c r="C22" s="20" t="s">
        <v>25</v>
      </c>
      <c r="D22" s="20" t="s">
        <v>156</v>
      </c>
      <c r="E22" s="20" t="s">
        <v>158</v>
      </c>
      <c r="F22" s="5">
        <v>1.0</v>
      </c>
      <c r="G22" s="5">
        <v>0.0</v>
      </c>
      <c r="H22" s="5">
        <v>1.0</v>
      </c>
      <c r="I22" s="5">
        <v>1.0</v>
      </c>
      <c r="J22" s="5">
        <v>0.0</v>
      </c>
      <c r="K22" s="5">
        <v>1.0</v>
      </c>
      <c r="L22" s="5">
        <v>1.0</v>
      </c>
      <c r="M22" s="5">
        <v>1.0</v>
      </c>
      <c r="N22" s="23">
        <v>1.0</v>
      </c>
      <c r="O22" s="5">
        <v>1.0</v>
      </c>
      <c r="P22" s="5">
        <v>1.0</v>
      </c>
      <c r="Q22" s="5">
        <v>0.0</v>
      </c>
      <c r="R22" s="5">
        <v>1.0</v>
      </c>
      <c r="U22" s="5">
        <v>1.0</v>
      </c>
      <c r="V22" s="5">
        <v>1.0</v>
      </c>
      <c r="W22" s="5">
        <v>1.0</v>
      </c>
      <c r="X22" s="5">
        <v>1.0</v>
      </c>
      <c r="Y22" s="5">
        <v>1.0</v>
      </c>
      <c r="Z22" s="25">
        <v>1.0</v>
      </c>
      <c r="AA22" s="5">
        <v>0.0</v>
      </c>
      <c r="AB22" s="5">
        <v>1.0</v>
      </c>
      <c r="AC22" s="5">
        <v>1.0</v>
      </c>
      <c r="AE22" s="5">
        <v>0.0</v>
      </c>
      <c r="AF22" s="5">
        <v>1.0</v>
      </c>
      <c r="AG22" s="32">
        <f t="shared" si="1"/>
        <v>19</v>
      </c>
      <c r="AH22" s="32">
        <f t="shared" si="2"/>
        <v>86.36</v>
      </c>
    </row>
    <row r="23" ht="14.25" customHeight="1">
      <c r="A23" s="20" t="s">
        <v>162</v>
      </c>
      <c r="B23" s="20" t="s">
        <v>164</v>
      </c>
      <c r="C23" s="20" t="s">
        <v>25</v>
      </c>
      <c r="D23" s="20" t="s">
        <v>165</v>
      </c>
      <c r="E23" s="20" t="s">
        <v>166</v>
      </c>
      <c r="F23" s="5">
        <v>1.0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1.0</v>
      </c>
      <c r="N23" s="23">
        <v>1.0</v>
      </c>
      <c r="O23" s="5">
        <v>1.0</v>
      </c>
      <c r="P23" s="5">
        <v>1.0</v>
      </c>
      <c r="Q23" s="5">
        <v>1.0</v>
      </c>
      <c r="R23" s="5">
        <v>1.0</v>
      </c>
      <c r="U23" s="5">
        <v>1.0</v>
      </c>
      <c r="V23" s="5">
        <v>1.0</v>
      </c>
      <c r="W23" s="5">
        <v>1.0</v>
      </c>
      <c r="X23" s="5">
        <v>0.0</v>
      </c>
      <c r="Y23" s="5">
        <v>1.0</v>
      </c>
      <c r="Z23" s="25">
        <v>1.0</v>
      </c>
      <c r="AA23" s="5">
        <v>1.0</v>
      </c>
      <c r="AB23" s="5">
        <v>1.0</v>
      </c>
      <c r="AC23" s="5">
        <v>0.0</v>
      </c>
      <c r="AE23" s="5">
        <v>0.0</v>
      </c>
      <c r="AF23" s="5">
        <v>1.0</v>
      </c>
      <c r="AG23" s="32">
        <f t="shared" si="1"/>
        <v>21</v>
      </c>
      <c r="AH23" s="32">
        <f t="shared" si="2"/>
        <v>95.45</v>
      </c>
    </row>
    <row r="24" ht="14.25" customHeight="1">
      <c r="A24" s="20" t="s">
        <v>171</v>
      </c>
      <c r="B24" s="20" t="s">
        <v>172</v>
      </c>
      <c r="C24" s="20" t="s">
        <v>25</v>
      </c>
      <c r="D24" s="20" t="s">
        <v>174</v>
      </c>
      <c r="E24" s="20" t="s">
        <v>175</v>
      </c>
      <c r="F24" s="5">
        <v>1.0</v>
      </c>
      <c r="G24" s="5">
        <v>1.0</v>
      </c>
      <c r="H24" s="5">
        <v>1.0</v>
      </c>
      <c r="I24" s="5">
        <v>1.0</v>
      </c>
      <c r="J24" s="5">
        <v>0.0</v>
      </c>
      <c r="K24" s="5">
        <v>1.0</v>
      </c>
      <c r="L24" s="5">
        <v>1.0</v>
      </c>
      <c r="M24" s="5">
        <v>1.0</v>
      </c>
      <c r="N24" s="23">
        <v>1.0</v>
      </c>
      <c r="O24" s="5">
        <v>1.0</v>
      </c>
      <c r="P24" s="5">
        <v>1.0</v>
      </c>
      <c r="Q24" s="5">
        <v>1.0</v>
      </c>
      <c r="R24" s="5">
        <v>1.0</v>
      </c>
      <c r="U24" s="5">
        <v>1.0</v>
      </c>
      <c r="V24" s="5">
        <v>1.0</v>
      </c>
      <c r="W24" s="5">
        <v>1.0</v>
      </c>
      <c r="X24" s="5">
        <v>1.0</v>
      </c>
      <c r="Y24" s="5">
        <v>1.0</v>
      </c>
      <c r="Z24" s="25">
        <v>1.0</v>
      </c>
      <c r="AA24" s="5">
        <v>1.0</v>
      </c>
      <c r="AB24" s="5">
        <v>1.0</v>
      </c>
      <c r="AC24" s="5">
        <v>1.0</v>
      </c>
      <c r="AE24" s="5">
        <v>0.0</v>
      </c>
      <c r="AF24" s="5">
        <v>1.0</v>
      </c>
      <c r="AG24" s="32">
        <f t="shared" si="1"/>
        <v>22</v>
      </c>
      <c r="AH24" s="32">
        <f t="shared" si="2"/>
        <v>100</v>
      </c>
    </row>
    <row r="25" ht="14.25" customHeight="1">
      <c r="A25" s="20" t="s">
        <v>176</v>
      </c>
      <c r="B25" s="20" t="s">
        <v>177</v>
      </c>
      <c r="C25" s="20" t="s">
        <v>88</v>
      </c>
      <c r="D25" s="20" t="s">
        <v>178</v>
      </c>
      <c r="E25" s="20" t="s">
        <v>179</v>
      </c>
      <c r="F25" s="5">
        <v>1.0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1.0</v>
      </c>
      <c r="N25" s="23">
        <v>1.0</v>
      </c>
      <c r="O25" s="5">
        <v>1.0</v>
      </c>
      <c r="P25" s="5">
        <v>0.0</v>
      </c>
      <c r="Q25" s="5">
        <v>1.0</v>
      </c>
      <c r="R25" s="5">
        <v>1.0</v>
      </c>
      <c r="U25" s="5">
        <v>1.0</v>
      </c>
      <c r="V25" s="5">
        <v>1.0</v>
      </c>
      <c r="W25" s="5">
        <v>1.0</v>
      </c>
      <c r="X25" s="5">
        <v>1.0</v>
      </c>
      <c r="Y25" s="5">
        <v>0.0</v>
      </c>
      <c r="Z25" s="25">
        <v>1.0</v>
      </c>
      <c r="AA25" s="5">
        <v>0.0</v>
      </c>
      <c r="AB25" s="5">
        <v>1.0</v>
      </c>
      <c r="AC25" s="5">
        <v>1.0</v>
      </c>
      <c r="AE25" s="5">
        <v>0.0</v>
      </c>
      <c r="AF25" s="5">
        <v>0.0</v>
      </c>
      <c r="AG25" s="32">
        <f t="shared" si="1"/>
        <v>19</v>
      </c>
      <c r="AH25" s="32">
        <f t="shared" si="2"/>
        <v>86.36</v>
      </c>
    </row>
    <row r="26" ht="14.25" customHeight="1">
      <c r="A26" s="20" t="s">
        <v>181</v>
      </c>
      <c r="B26" s="20" t="s">
        <v>182</v>
      </c>
      <c r="C26" s="20" t="s">
        <v>25</v>
      </c>
      <c r="D26" s="20" t="s">
        <v>183</v>
      </c>
      <c r="E26" s="20" t="s">
        <v>184</v>
      </c>
      <c r="F26" s="5">
        <v>1.0</v>
      </c>
      <c r="G26" s="5">
        <v>1.0</v>
      </c>
      <c r="H26" s="5">
        <v>1.0</v>
      </c>
      <c r="I26" s="5">
        <v>1.0</v>
      </c>
      <c r="J26" s="5">
        <v>0.0</v>
      </c>
      <c r="K26" s="5">
        <v>1.0</v>
      </c>
      <c r="L26" s="5">
        <v>1.0</v>
      </c>
      <c r="M26" s="5">
        <v>1.0</v>
      </c>
      <c r="N26" s="23">
        <v>1.0</v>
      </c>
      <c r="O26" s="5">
        <v>1.0</v>
      </c>
      <c r="P26" s="5">
        <v>0.0</v>
      </c>
      <c r="Q26" s="5">
        <v>1.0</v>
      </c>
      <c r="R26" s="5">
        <v>0.0</v>
      </c>
      <c r="U26" s="5">
        <v>0.0</v>
      </c>
      <c r="V26" s="5">
        <v>1.0</v>
      </c>
      <c r="W26" s="5">
        <v>1.0</v>
      </c>
      <c r="X26" s="5">
        <v>0.0</v>
      </c>
      <c r="Y26" s="5">
        <v>1.0</v>
      </c>
      <c r="Z26" s="25">
        <v>1.0</v>
      </c>
      <c r="AA26" s="5">
        <v>1.0</v>
      </c>
      <c r="AB26" s="5">
        <v>1.0</v>
      </c>
      <c r="AC26" s="5">
        <v>1.0</v>
      </c>
      <c r="AE26" s="5">
        <v>0.0</v>
      </c>
      <c r="AF26" s="5">
        <v>0.0</v>
      </c>
      <c r="AG26" s="32">
        <f t="shared" si="1"/>
        <v>17</v>
      </c>
      <c r="AH26" s="32">
        <f t="shared" si="2"/>
        <v>77.27</v>
      </c>
    </row>
    <row r="27" ht="14.25" customHeight="1">
      <c r="A27" s="20" t="s">
        <v>186</v>
      </c>
      <c r="B27" s="20" t="s">
        <v>187</v>
      </c>
      <c r="C27" s="20" t="s">
        <v>25</v>
      </c>
      <c r="D27" s="20" t="s">
        <v>188</v>
      </c>
      <c r="E27" s="20" t="s">
        <v>189</v>
      </c>
      <c r="F27" s="5">
        <v>1.0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5">
        <v>0.0</v>
      </c>
      <c r="N27" s="23">
        <v>1.0</v>
      </c>
      <c r="O27" s="5">
        <v>1.0</v>
      </c>
      <c r="P27" s="5">
        <v>0.0</v>
      </c>
      <c r="Q27" s="5">
        <v>1.0</v>
      </c>
      <c r="R27" s="5">
        <v>1.0</v>
      </c>
      <c r="U27" s="5">
        <v>1.0</v>
      </c>
      <c r="V27" s="5">
        <v>0.0</v>
      </c>
      <c r="W27" s="5">
        <v>1.0</v>
      </c>
      <c r="X27" s="5">
        <v>0.0</v>
      </c>
      <c r="Y27" s="5">
        <v>1.0</v>
      </c>
      <c r="Z27" s="25">
        <v>1.0</v>
      </c>
      <c r="AA27" s="5">
        <v>1.0</v>
      </c>
      <c r="AB27" s="5">
        <v>1.0</v>
      </c>
      <c r="AC27" s="5">
        <v>0.0</v>
      </c>
      <c r="AE27" s="5">
        <v>0.0</v>
      </c>
      <c r="AF27" s="5">
        <v>0.0</v>
      </c>
      <c r="AG27" s="32">
        <f t="shared" si="1"/>
        <v>17</v>
      </c>
      <c r="AH27" s="32">
        <f t="shared" si="2"/>
        <v>77.27</v>
      </c>
    </row>
    <row r="28" ht="14.25" customHeight="1">
      <c r="A28" s="20" t="s">
        <v>190</v>
      </c>
      <c r="B28" s="20" t="s">
        <v>191</v>
      </c>
      <c r="C28" s="20" t="s">
        <v>25</v>
      </c>
      <c r="D28" s="20" t="s">
        <v>192</v>
      </c>
      <c r="E28" s="20" t="s">
        <v>193</v>
      </c>
      <c r="F28" s="5">
        <v>1.0</v>
      </c>
      <c r="G28" s="5">
        <v>1.0</v>
      </c>
      <c r="H28" s="5">
        <v>1.0</v>
      </c>
      <c r="I28" s="5">
        <v>1.0</v>
      </c>
      <c r="J28" s="5">
        <v>1.0</v>
      </c>
      <c r="K28" s="5">
        <v>0.0</v>
      </c>
      <c r="L28" s="5">
        <v>1.0</v>
      </c>
      <c r="M28" s="5">
        <v>1.0</v>
      </c>
      <c r="N28" s="23">
        <v>1.0</v>
      </c>
      <c r="O28" s="5">
        <v>1.0</v>
      </c>
      <c r="P28" s="5">
        <v>0.0</v>
      </c>
      <c r="Q28" s="5">
        <v>1.0</v>
      </c>
      <c r="R28" s="5">
        <v>0.0</v>
      </c>
      <c r="U28" s="5">
        <v>0.0</v>
      </c>
      <c r="V28" s="5">
        <v>1.0</v>
      </c>
      <c r="W28" s="5">
        <v>1.0</v>
      </c>
      <c r="X28" s="5">
        <v>0.0</v>
      </c>
      <c r="Y28" s="5">
        <v>1.0</v>
      </c>
      <c r="Z28" s="25">
        <v>1.0</v>
      </c>
      <c r="AA28" s="5">
        <v>1.0</v>
      </c>
      <c r="AB28" s="5">
        <v>1.0</v>
      </c>
      <c r="AC28" s="5">
        <v>1.0</v>
      </c>
      <c r="AE28" s="5">
        <v>0.0</v>
      </c>
      <c r="AF28" s="5">
        <v>0.0</v>
      </c>
      <c r="AG28" s="32">
        <f t="shared" si="1"/>
        <v>17</v>
      </c>
      <c r="AH28" s="32">
        <f t="shared" si="2"/>
        <v>77.27</v>
      </c>
    </row>
    <row r="29" ht="14.25" customHeight="1">
      <c r="A29" s="20" t="s">
        <v>194</v>
      </c>
      <c r="B29" s="20" t="s">
        <v>195</v>
      </c>
      <c r="C29" s="20" t="s">
        <v>25</v>
      </c>
      <c r="D29" s="20" t="s">
        <v>196</v>
      </c>
      <c r="E29" s="20" t="s">
        <v>197</v>
      </c>
      <c r="F29" s="5">
        <v>1.0</v>
      </c>
      <c r="G29" s="5">
        <v>0.0</v>
      </c>
      <c r="H29" s="5">
        <v>1.0</v>
      </c>
      <c r="I29" s="5">
        <v>0.0</v>
      </c>
      <c r="J29" s="5">
        <v>1.0</v>
      </c>
      <c r="K29" s="5">
        <v>1.0</v>
      </c>
      <c r="L29" s="5">
        <v>1.0</v>
      </c>
      <c r="M29" s="5">
        <v>1.0</v>
      </c>
      <c r="N29" s="23">
        <v>1.0</v>
      </c>
      <c r="O29" s="5">
        <v>1.0</v>
      </c>
      <c r="P29" s="5">
        <v>1.0</v>
      </c>
      <c r="Q29" s="5">
        <v>1.0</v>
      </c>
      <c r="R29" s="5">
        <v>1.0</v>
      </c>
      <c r="U29" s="5">
        <v>1.0</v>
      </c>
      <c r="V29" s="5">
        <v>1.0</v>
      </c>
      <c r="W29" s="5">
        <v>1.0</v>
      </c>
      <c r="X29" s="5">
        <v>1.0</v>
      </c>
      <c r="Y29" s="5">
        <v>1.0</v>
      </c>
      <c r="Z29" s="25">
        <v>1.0</v>
      </c>
      <c r="AA29" s="5">
        <v>1.0</v>
      </c>
      <c r="AB29" s="5">
        <v>1.0</v>
      </c>
      <c r="AC29" s="5">
        <v>1.0</v>
      </c>
      <c r="AE29" s="5">
        <v>0.0</v>
      </c>
      <c r="AF29" s="5">
        <v>1.0</v>
      </c>
      <c r="AG29" s="32">
        <f t="shared" si="1"/>
        <v>21</v>
      </c>
      <c r="AH29" s="32">
        <f t="shared" si="2"/>
        <v>95.45</v>
      </c>
    </row>
    <row r="30" ht="14.25" customHeight="1">
      <c r="A30" s="20" t="s">
        <v>198</v>
      </c>
      <c r="B30" s="20" t="s">
        <v>199</v>
      </c>
      <c r="C30" s="20" t="s">
        <v>25</v>
      </c>
      <c r="D30" s="20" t="s">
        <v>200</v>
      </c>
      <c r="E30" s="20" t="s">
        <v>201</v>
      </c>
      <c r="F30" s="5">
        <v>1.0</v>
      </c>
      <c r="G30" s="5">
        <v>1.0</v>
      </c>
      <c r="H30" s="5">
        <v>1.0</v>
      </c>
      <c r="I30" s="5">
        <v>1.0</v>
      </c>
      <c r="J30" s="5">
        <v>0.0</v>
      </c>
      <c r="K30" s="5">
        <v>1.0</v>
      </c>
      <c r="L30" s="5">
        <v>1.0</v>
      </c>
      <c r="M30" s="5">
        <v>1.0</v>
      </c>
      <c r="N30" s="23">
        <v>1.0</v>
      </c>
      <c r="O30" s="5">
        <v>1.0</v>
      </c>
      <c r="P30" s="5">
        <v>1.0</v>
      </c>
      <c r="Q30" s="5">
        <v>1.0</v>
      </c>
      <c r="R30" s="5">
        <v>1.0</v>
      </c>
      <c r="U30" s="5">
        <v>1.0</v>
      </c>
      <c r="V30" s="5">
        <v>1.0</v>
      </c>
      <c r="W30" s="5">
        <v>0.0</v>
      </c>
      <c r="X30" s="5">
        <v>1.0</v>
      </c>
      <c r="Y30" s="5">
        <v>1.0</v>
      </c>
      <c r="Z30" s="25">
        <v>1.0</v>
      </c>
      <c r="AA30" s="5">
        <v>1.0</v>
      </c>
      <c r="AB30" s="5">
        <v>1.0</v>
      </c>
      <c r="AC30" s="5">
        <v>1.0</v>
      </c>
      <c r="AE30" s="5">
        <v>0.0</v>
      </c>
      <c r="AF30" s="5">
        <v>1.0</v>
      </c>
      <c r="AG30" s="32">
        <f t="shared" si="1"/>
        <v>21</v>
      </c>
      <c r="AH30" s="32">
        <f t="shared" si="2"/>
        <v>95.45</v>
      </c>
    </row>
    <row r="31" ht="14.25" customHeight="1">
      <c r="A31" s="20" t="s">
        <v>202</v>
      </c>
      <c r="B31" s="20" t="s">
        <v>203</v>
      </c>
      <c r="C31" s="20" t="s">
        <v>88</v>
      </c>
      <c r="D31" s="20" t="s">
        <v>204</v>
      </c>
      <c r="E31" s="20" t="s">
        <v>205</v>
      </c>
      <c r="F31" s="5">
        <v>1.0</v>
      </c>
      <c r="G31" s="5">
        <v>1.0</v>
      </c>
      <c r="H31" s="5">
        <v>1.0</v>
      </c>
      <c r="I31" s="5">
        <v>1.0</v>
      </c>
      <c r="J31" s="5">
        <v>0.0</v>
      </c>
      <c r="K31" s="5">
        <v>0.0</v>
      </c>
      <c r="L31" s="5">
        <v>1.0</v>
      </c>
      <c r="M31" s="5">
        <v>0.0</v>
      </c>
      <c r="N31" s="23">
        <v>1.0</v>
      </c>
      <c r="O31" s="5">
        <v>1.0</v>
      </c>
      <c r="P31" s="5">
        <v>0.0</v>
      </c>
      <c r="Q31" s="5">
        <v>0.0</v>
      </c>
      <c r="R31" s="5">
        <v>1.0</v>
      </c>
      <c r="U31" s="5">
        <v>0.0</v>
      </c>
      <c r="V31" s="5">
        <v>1.0</v>
      </c>
      <c r="W31" s="5">
        <v>0.0</v>
      </c>
      <c r="X31" s="5">
        <v>1.0</v>
      </c>
      <c r="Y31" s="5">
        <v>1.0</v>
      </c>
      <c r="Z31" s="25">
        <v>1.0</v>
      </c>
      <c r="AA31" s="5">
        <v>1.0</v>
      </c>
      <c r="AB31" s="5">
        <v>1.0</v>
      </c>
      <c r="AC31" s="5">
        <v>1.0</v>
      </c>
      <c r="AE31" s="5">
        <v>0.0</v>
      </c>
      <c r="AF31" s="5">
        <v>0.0</v>
      </c>
      <c r="AG31" s="32">
        <f t="shared" si="1"/>
        <v>15</v>
      </c>
      <c r="AH31" s="32">
        <f t="shared" si="2"/>
        <v>68.18</v>
      </c>
    </row>
    <row r="32" ht="14.25" customHeight="1">
      <c r="A32" s="20" t="s">
        <v>206</v>
      </c>
      <c r="B32" s="20" t="s">
        <v>207</v>
      </c>
      <c r="C32" s="20" t="s">
        <v>88</v>
      </c>
      <c r="D32" s="20" t="s">
        <v>208</v>
      </c>
      <c r="E32" s="20" t="s">
        <v>209</v>
      </c>
      <c r="F32" s="5">
        <v>1.0</v>
      </c>
      <c r="G32" s="5">
        <v>1.0</v>
      </c>
      <c r="H32" s="5">
        <v>1.0</v>
      </c>
      <c r="I32" s="5">
        <v>1.0</v>
      </c>
      <c r="J32" s="5">
        <v>1.0</v>
      </c>
      <c r="K32" s="5">
        <v>1.0</v>
      </c>
      <c r="L32" s="5">
        <v>1.0</v>
      </c>
      <c r="M32" s="5">
        <v>1.0</v>
      </c>
      <c r="N32" s="23">
        <v>1.0</v>
      </c>
      <c r="O32" s="5">
        <v>1.0</v>
      </c>
      <c r="P32" s="5">
        <v>1.0</v>
      </c>
      <c r="Q32" s="5">
        <v>0.0</v>
      </c>
      <c r="R32" s="5">
        <v>1.0</v>
      </c>
      <c r="U32" s="5">
        <v>1.0</v>
      </c>
      <c r="V32" s="5">
        <v>1.0</v>
      </c>
      <c r="W32" s="5">
        <v>0.0</v>
      </c>
      <c r="X32" s="5">
        <v>1.0</v>
      </c>
      <c r="Y32" s="5">
        <v>1.0</v>
      </c>
      <c r="Z32" s="25">
        <v>1.0</v>
      </c>
      <c r="AA32" s="5">
        <v>0.0</v>
      </c>
      <c r="AB32" s="5">
        <v>1.0</v>
      </c>
      <c r="AC32" s="5">
        <v>0.0</v>
      </c>
      <c r="AE32" s="5">
        <v>0.0</v>
      </c>
      <c r="AF32" s="5">
        <v>1.0</v>
      </c>
      <c r="AG32" s="32">
        <f t="shared" si="1"/>
        <v>19</v>
      </c>
      <c r="AH32" s="32">
        <f t="shared" si="2"/>
        <v>86.36</v>
      </c>
    </row>
    <row r="33" ht="14.25" customHeight="1">
      <c r="A33" s="20" t="s">
        <v>210</v>
      </c>
      <c r="B33" s="20" t="s">
        <v>211</v>
      </c>
      <c r="C33" s="20" t="s">
        <v>25</v>
      </c>
      <c r="D33" s="20" t="s">
        <v>212</v>
      </c>
      <c r="E33" s="20" t="s">
        <v>213</v>
      </c>
      <c r="F33" s="5">
        <v>1.0</v>
      </c>
      <c r="G33" s="5">
        <v>1.0</v>
      </c>
      <c r="H33" s="5">
        <v>1.0</v>
      </c>
      <c r="I33" s="5">
        <v>1.0</v>
      </c>
      <c r="J33" s="5">
        <v>1.0</v>
      </c>
      <c r="K33" s="5">
        <v>1.0</v>
      </c>
      <c r="L33" s="5">
        <v>1.0</v>
      </c>
      <c r="M33" s="5">
        <v>0.0</v>
      </c>
      <c r="N33" s="23">
        <v>1.0</v>
      </c>
      <c r="O33" s="5">
        <v>1.0</v>
      </c>
      <c r="P33" s="5">
        <v>1.0</v>
      </c>
      <c r="Q33" s="5">
        <v>0.0</v>
      </c>
      <c r="R33" s="5">
        <v>1.0</v>
      </c>
      <c r="U33" s="5">
        <v>1.0</v>
      </c>
      <c r="V33" s="5">
        <v>1.0</v>
      </c>
      <c r="W33" s="5">
        <v>0.0</v>
      </c>
      <c r="X33" s="5">
        <v>1.0</v>
      </c>
      <c r="Y33" s="5">
        <v>1.0</v>
      </c>
      <c r="Z33" s="25">
        <v>0.0</v>
      </c>
      <c r="AA33" s="5">
        <v>0.0</v>
      </c>
      <c r="AB33" s="5">
        <v>1.0</v>
      </c>
      <c r="AC33" s="5">
        <v>1.0</v>
      </c>
      <c r="AE33" s="5">
        <v>0.0</v>
      </c>
      <c r="AF33" s="5">
        <v>1.0</v>
      </c>
      <c r="AG33" s="32">
        <f t="shared" si="1"/>
        <v>18</v>
      </c>
      <c r="AH33" s="32">
        <f t="shared" si="2"/>
        <v>81.82</v>
      </c>
    </row>
    <row r="34" ht="14.25" customHeight="1">
      <c r="A34" s="20" t="s">
        <v>214</v>
      </c>
      <c r="B34" s="20" t="s">
        <v>215</v>
      </c>
      <c r="C34" s="20" t="s">
        <v>25</v>
      </c>
      <c r="D34" s="20" t="s">
        <v>216</v>
      </c>
      <c r="E34" s="20" t="s">
        <v>217</v>
      </c>
      <c r="F34" s="5">
        <v>1.0</v>
      </c>
      <c r="G34" s="5">
        <v>1.0</v>
      </c>
      <c r="H34" s="5">
        <v>1.0</v>
      </c>
      <c r="I34" s="5">
        <v>1.0</v>
      </c>
      <c r="J34" s="5">
        <v>1.0</v>
      </c>
      <c r="K34" s="5">
        <v>1.0</v>
      </c>
      <c r="L34" s="5">
        <v>1.0</v>
      </c>
      <c r="M34" s="5">
        <v>1.0</v>
      </c>
      <c r="N34" s="23">
        <v>1.0</v>
      </c>
      <c r="O34" s="5">
        <v>1.0</v>
      </c>
      <c r="P34" s="5">
        <v>1.0</v>
      </c>
      <c r="Q34" s="5">
        <v>1.0</v>
      </c>
      <c r="R34" s="5">
        <v>1.0</v>
      </c>
      <c r="U34" s="5">
        <v>1.0</v>
      </c>
      <c r="V34" s="5">
        <v>1.0</v>
      </c>
      <c r="W34" s="5">
        <v>0.0</v>
      </c>
      <c r="X34" s="5">
        <v>1.0</v>
      </c>
      <c r="Y34" s="5">
        <v>1.0</v>
      </c>
      <c r="Z34" s="25">
        <v>1.0</v>
      </c>
      <c r="AA34" s="5">
        <v>0.0</v>
      </c>
      <c r="AB34" s="5">
        <v>1.0</v>
      </c>
      <c r="AC34" s="5">
        <v>0.0</v>
      </c>
      <c r="AE34" s="5">
        <v>0.0</v>
      </c>
      <c r="AF34" s="5">
        <v>1.0</v>
      </c>
      <c r="AG34" s="32">
        <f t="shared" si="1"/>
        <v>20</v>
      </c>
      <c r="AH34" s="32">
        <f t="shared" si="2"/>
        <v>90.91</v>
      </c>
    </row>
    <row r="35" ht="14.25" customHeight="1">
      <c r="A35" s="20" t="s">
        <v>218</v>
      </c>
      <c r="B35" s="20" t="s">
        <v>219</v>
      </c>
      <c r="C35" s="20" t="s">
        <v>25</v>
      </c>
      <c r="D35" s="20" t="s">
        <v>220</v>
      </c>
      <c r="E35" s="20" t="s">
        <v>221</v>
      </c>
      <c r="F35" s="5">
        <v>1.0</v>
      </c>
      <c r="G35" s="5">
        <v>1.0</v>
      </c>
      <c r="H35" s="5">
        <v>1.0</v>
      </c>
      <c r="I35" s="5">
        <v>0.0</v>
      </c>
      <c r="J35" s="5">
        <v>1.0</v>
      </c>
      <c r="K35" s="5">
        <v>1.0</v>
      </c>
      <c r="L35" s="5">
        <v>0.0</v>
      </c>
      <c r="M35" s="5">
        <v>1.0</v>
      </c>
      <c r="N35" s="23">
        <v>0.0</v>
      </c>
      <c r="O35" s="5">
        <v>1.0</v>
      </c>
      <c r="P35" s="5">
        <v>0.0</v>
      </c>
      <c r="Q35" s="5">
        <v>1.0</v>
      </c>
      <c r="R35" s="5">
        <v>0.0</v>
      </c>
      <c r="U35" s="5">
        <v>1.0</v>
      </c>
      <c r="V35" s="5">
        <v>1.0</v>
      </c>
      <c r="W35" s="5">
        <v>1.0</v>
      </c>
      <c r="X35" s="5">
        <v>0.0</v>
      </c>
      <c r="Y35" s="5">
        <v>0.0</v>
      </c>
      <c r="Z35" s="25">
        <v>1.0</v>
      </c>
      <c r="AA35" s="5">
        <v>1.0</v>
      </c>
      <c r="AB35" s="5">
        <v>1.0</v>
      </c>
      <c r="AC35" s="5">
        <v>0.0</v>
      </c>
      <c r="AE35" s="5">
        <v>0.0</v>
      </c>
      <c r="AF35" s="5">
        <v>0.0</v>
      </c>
      <c r="AG35" s="32">
        <f t="shared" si="1"/>
        <v>14</v>
      </c>
      <c r="AH35" s="32">
        <f t="shared" si="2"/>
        <v>63.64</v>
      </c>
    </row>
    <row r="36" ht="14.25" customHeight="1">
      <c r="A36" s="20" t="s">
        <v>222</v>
      </c>
      <c r="B36" s="20" t="s">
        <v>223</v>
      </c>
      <c r="C36" s="20" t="s">
        <v>25</v>
      </c>
      <c r="D36" s="20" t="s">
        <v>224</v>
      </c>
      <c r="E36" s="20" t="s">
        <v>225</v>
      </c>
      <c r="F36" s="5">
        <v>1.0</v>
      </c>
      <c r="G36" s="5">
        <v>1.0</v>
      </c>
      <c r="H36" s="5">
        <v>1.0</v>
      </c>
      <c r="I36" s="5">
        <v>1.0</v>
      </c>
      <c r="J36" s="5">
        <v>1.0</v>
      </c>
      <c r="K36" s="5">
        <v>1.0</v>
      </c>
      <c r="L36" s="5">
        <v>1.0</v>
      </c>
      <c r="M36" s="5">
        <v>1.0</v>
      </c>
      <c r="N36" s="23">
        <v>1.0</v>
      </c>
      <c r="O36" s="5">
        <v>1.0</v>
      </c>
      <c r="P36" s="5">
        <v>1.0</v>
      </c>
      <c r="Q36" s="5">
        <v>0.0</v>
      </c>
      <c r="R36" s="5">
        <v>1.0</v>
      </c>
      <c r="U36" s="5">
        <v>0.0</v>
      </c>
      <c r="V36" s="5">
        <v>1.0</v>
      </c>
      <c r="W36" s="5">
        <v>1.0</v>
      </c>
      <c r="X36" s="5">
        <v>1.0</v>
      </c>
      <c r="Y36" s="5">
        <v>1.0</v>
      </c>
      <c r="Z36" s="25">
        <v>1.0</v>
      </c>
      <c r="AA36" s="5">
        <v>1.0</v>
      </c>
      <c r="AB36" s="5">
        <v>1.0</v>
      </c>
      <c r="AC36" s="5">
        <v>0.0</v>
      </c>
      <c r="AE36" s="5">
        <v>0.0</v>
      </c>
      <c r="AF36" s="5">
        <v>1.0</v>
      </c>
      <c r="AG36" s="32">
        <f t="shared" si="1"/>
        <v>20</v>
      </c>
      <c r="AH36" s="32">
        <f t="shared" si="2"/>
        <v>90.91</v>
      </c>
    </row>
    <row r="37" ht="14.25" customHeight="1">
      <c r="A37" s="20" t="s">
        <v>226</v>
      </c>
      <c r="B37" s="20" t="s">
        <v>227</v>
      </c>
      <c r="C37" s="20" t="s">
        <v>88</v>
      </c>
      <c r="D37" s="20" t="s">
        <v>228</v>
      </c>
      <c r="E37" s="20" t="s">
        <v>229</v>
      </c>
      <c r="F37" s="5">
        <v>1.0</v>
      </c>
      <c r="G37" s="5">
        <v>1.0</v>
      </c>
      <c r="H37" s="5">
        <v>0.0</v>
      </c>
      <c r="I37" s="5">
        <v>1.0</v>
      </c>
      <c r="J37" s="5">
        <v>1.0</v>
      </c>
      <c r="K37" s="5">
        <v>1.0</v>
      </c>
      <c r="L37" s="5">
        <v>1.0</v>
      </c>
      <c r="M37" s="5">
        <v>0.0</v>
      </c>
      <c r="N37" s="23">
        <v>1.0</v>
      </c>
      <c r="O37" s="5">
        <v>1.0</v>
      </c>
      <c r="P37" s="5">
        <v>1.0</v>
      </c>
      <c r="Q37" s="5">
        <v>0.0</v>
      </c>
      <c r="R37" s="5">
        <v>1.0</v>
      </c>
      <c r="U37" s="5">
        <v>1.0</v>
      </c>
      <c r="V37" s="5">
        <v>1.0</v>
      </c>
      <c r="W37" s="5">
        <v>0.0</v>
      </c>
      <c r="X37" s="5">
        <v>1.0</v>
      </c>
      <c r="Y37" s="5">
        <v>0.0</v>
      </c>
      <c r="Z37" s="25">
        <v>0.0</v>
      </c>
      <c r="AA37" s="5">
        <v>0.0</v>
      </c>
      <c r="AB37" s="5">
        <v>1.0</v>
      </c>
      <c r="AC37" s="5">
        <v>1.0</v>
      </c>
      <c r="AE37" s="5">
        <v>0.0</v>
      </c>
      <c r="AF37" s="5">
        <v>1.0</v>
      </c>
      <c r="AG37" s="32">
        <f t="shared" si="1"/>
        <v>16</v>
      </c>
      <c r="AH37" s="32">
        <f t="shared" si="2"/>
        <v>72.73</v>
      </c>
    </row>
    <row r="38" ht="14.25" customHeight="1">
      <c r="A38" s="20" t="s">
        <v>230</v>
      </c>
      <c r="B38" s="20" t="s">
        <v>231</v>
      </c>
      <c r="C38" s="20" t="s">
        <v>88</v>
      </c>
      <c r="D38" s="20" t="s">
        <v>232</v>
      </c>
      <c r="E38" s="20" t="s">
        <v>233</v>
      </c>
      <c r="F38" s="5">
        <v>1.0</v>
      </c>
      <c r="G38" s="5">
        <v>1.0</v>
      </c>
      <c r="H38" s="5">
        <v>1.0</v>
      </c>
      <c r="I38" s="5">
        <v>1.0</v>
      </c>
      <c r="J38" s="5">
        <v>1.0</v>
      </c>
      <c r="K38" s="5">
        <v>1.0</v>
      </c>
      <c r="L38" s="5">
        <v>0.0</v>
      </c>
      <c r="M38" s="5">
        <v>1.0</v>
      </c>
      <c r="N38" s="23">
        <v>1.0</v>
      </c>
      <c r="O38" s="5">
        <v>1.0</v>
      </c>
      <c r="P38" s="5">
        <v>0.0</v>
      </c>
      <c r="Q38" s="5">
        <v>0.0</v>
      </c>
      <c r="R38" s="5">
        <v>1.0</v>
      </c>
      <c r="U38" s="5">
        <v>0.0</v>
      </c>
      <c r="V38" s="5">
        <v>0.0</v>
      </c>
      <c r="W38" s="5">
        <v>1.0</v>
      </c>
      <c r="X38" s="5">
        <v>0.0</v>
      </c>
      <c r="Y38" s="5">
        <v>1.0</v>
      </c>
      <c r="Z38" s="25">
        <v>0.0</v>
      </c>
      <c r="AA38" s="5">
        <v>0.0</v>
      </c>
      <c r="AB38" s="5">
        <v>1.0</v>
      </c>
      <c r="AC38" s="5">
        <v>0.0</v>
      </c>
      <c r="AE38" s="5">
        <v>0.0</v>
      </c>
      <c r="AF38" s="5">
        <v>0.0</v>
      </c>
      <c r="AG38" s="32">
        <f t="shared" si="1"/>
        <v>13</v>
      </c>
      <c r="AH38" s="32">
        <f t="shared" si="2"/>
        <v>59.09</v>
      </c>
    </row>
    <row r="39" ht="14.25" customHeight="1">
      <c r="A39" s="20" t="s">
        <v>234</v>
      </c>
      <c r="B39" s="20" t="s">
        <v>235</v>
      </c>
      <c r="C39" s="20" t="s">
        <v>88</v>
      </c>
      <c r="D39" s="20" t="s">
        <v>236</v>
      </c>
      <c r="E39" s="20" t="s">
        <v>237</v>
      </c>
      <c r="F39" s="5">
        <v>1.0</v>
      </c>
      <c r="G39" s="5">
        <v>1.0</v>
      </c>
      <c r="H39" s="5">
        <v>1.0</v>
      </c>
      <c r="I39" s="5">
        <v>0.0</v>
      </c>
      <c r="J39" s="5">
        <v>1.0</v>
      </c>
      <c r="K39" s="5">
        <v>1.0</v>
      </c>
      <c r="L39" s="5">
        <v>1.0</v>
      </c>
      <c r="M39" s="5">
        <v>0.0</v>
      </c>
      <c r="N39" s="23">
        <v>1.0</v>
      </c>
      <c r="O39" s="5">
        <v>1.0</v>
      </c>
      <c r="P39" s="5">
        <v>1.0</v>
      </c>
      <c r="Q39" s="5">
        <v>1.0</v>
      </c>
      <c r="R39" s="5">
        <v>1.0</v>
      </c>
      <c r="U39" s="5">
        <v>0.0</v>
      </c>
      <c r="V39" s="5">
        <v>1.0</v>
      </c>
      <c r="W39" s="5">
        <v>0.0</v>
      </c>
      <c r="X39" s="5">
        <v>1.0</v>
      </c>
      <c r="Y39" s="5">
        <v>1.0</v>
      </c>
      <c r="Z39" s="25">
        <v>1.0</v>
      </c>
      <c r="AA39" s="5">
        <v>1.0</v>
      </c>
      <c r="AB39" s="5">
        <v>1.0</v>
      </c>
      <c r="AC39" s="5">
        <v>1.0</v>
      </c>
      <c r="AE39" s="5">
        <v>0.0</v>
      </c>
      <c r="AF39" s="5">
        <v>1.0</v>
      </c>
      <c r="AG39" s="32">
        <f t="shared" si="1"/>
        <v>19</v>
      </c>
      <c r="AH39" s="32">
        <f t="shared" si="2"/>
        <v>86.36</v>
      </c>
    </row>
    <row r="40" ht="14.25" customHeight="1">
      <c r="A40" s="20" t="s">
        <v>238</v>
      </c>
      <c r="B40" s="20" t="s">
        <v>239</v>
      </c>
      <c r="C40" s="20" t="s">
        <v>88</v>
      </c>
      <c r="D40" s="20" t="s">
        <v>240</v>
      </c>
      <c r="E40" s="20" t="s">
        <v>241</v>
      </c>
      <c r="F40" s="5">
        <v>1.0</v>
      </c>
      <c r="G40" s="5">
        <v>1.0</v>
      </c>
      <c r="H40" s="5">
        <v>1.0</v>
      </c>
      <c r="I40" s="5">
        <v>1.0</v>
      </c>
      <c r="J40" s="5">
        <v>1.0</v>
      </c>
      <c r="K40" s="5">
        <v>1.0</v>
      </c>
      <c r="L40" s="5">
        <v>1.0</v>
      </c>
      <c r="M40" s="5">
        <v>1.0</v>
      </c>
      <c r="N40" s="23">
        <v>1.0</v>
      </c>
      <c r="O40" s="5">
        <v>1.0</v>
      </c>
      <c r="P40" s="5">
        <v>1.0</v>
      </c>
      <c r="Q40" s="5">
        <v>0.0</v>
      </c>
      <c r="R40" s="5">
        <v>1.0</v>
      </c>
      <c r="U40" s="5">
        <v>1.0</v>
      </c>
      <c r="V40" s="5">
        <v>1.0</v>
      </c>
      <c r="W40" s="5">
        <v>1.0</v>
      </c>
      <c r="X40" s="5">
        <v>1.0</v>
      </c>
      <c r="Y40" s="5">
        <v>1.0</v>
      </c>
      <c r="Z40" s="25">
        <v>1.0</v>
      </c>
      <c r="AA40" s="5">
        <v>0.0</v>
      </c>
      <c r="AB40" s="5">
        <v>1.0</v>
      </c>
      <c r="AC40" s="5">
        <v>0.0</v>
      </c>
      <c r="AE40" s="5">
        <v>0.0</v>
      </c>
      <c r="AF40" s="5">
        <v>1.0</v>
      </c>
      <c r="AG40" s="32">
        <f t="shared" si="1"/>
        <v>20</v>
      </c>
      <c r="AH40" s="32">
        <f t="shared" si="2"/>
        <v>90.91</v>
      </c>
    </row>
    <row r="41" ht="14.25" customHeight="1">
      <c r="A41" s="20" t="s">
        <v>242</v>
      </c>
      <c r="B41" s="20" t="s">
        <v>243</v>
      </c>
      <c r="C41" s="20" t="s">
        <v>88</v>
      </c>
      <c r="D41" s="20" t="s">
        <v>244</v>
      </c>
      <c r="E41" s="20" t="s">
        <v>245</v>
      </c>
      <c r="F41" s="5">
        <v>1.0</v>
      </c>
      <c r="G41" s="5">
        <v>1.0</v>
      </c>
      <c r="H41" s="5">
        <v>0.0</v>
      </c>
      <c r="I41" s="5">
        <v>1.0</v>
      </c>
      <c r="J41" s="5">
        <v>0.0</v>
      </c>
      <c r="K41" s="5">
        <v>1.0</v>
      </c>
      <c r="L41" s="5">
        <v>0.0</v>
      </c>
      <c r="M41" s="5">
        <v>1.0</v>
      </c>
      <c r="N41" s="23">
        <v>1.0</v>
      </c>
      <c r="O41" s="5">
        <v>1.0</v>
      </c>
      <c r="P41" s="5">
        <v>1.0</v>
      </c>
      <c r="Q41" s="5">
        <v>0.0</v>
      </c>
      <c r="R41" s="5">
        <v>1.0</v>
      </c>
      <c r="U41" s="5">
        <v>1.0</v>
      </c>
      <c r="V41" s="5">
        <v>0.0</v>
      </c>
      <c r="W41" s="5">
        <v>1.0</v>
      </c>
      <c r="X41" s="5">
        <v>1.0</v>
      </c>
      <c r="Y41" s="5">
        <v>1.0</v>
      </c>
      <c r="Z41" s="25">
        <v>1.0</v>
      </c>
      <c r="AA41" s="5">
        <v>0.0</v>
      </c>
      <c r="AB41" s="5">
        <v>1.0</v>
      </c>
      <c r="AC41" s="5">
        <v>0.0</v>
      </c>
      <c r="AE41" s="5">
        <v>0.0</v>
      </c>
      <c r="AF41" s="5">
        <v>1.0</v>
      </c>
      <c r="AG41" s="32">
        <f t="shared" si="1"/>
        <v>16</v>
      </c>
      <c r="AH41" s="32">
        <f t="shared" si="2"/>
        <v>72.73</v>
      </c>
    </row>
    <row r="42" ht="14.25" customHeight="1">
      <c r="A42" s="20" t="s">
        <v>246</v>
      </c>
      <c r="B42" s="20" t="s">
        <v>247</v>
      </c>
      <c r="C42" s="20" t="s">
        <v>25</v>
      </c>
      <c r="D42" s="20" t="s">
        <v>248</v>
      </c>
      <c r="E42" s="20" t="s">
        <v>249</v>
      </c>
      <c r="F42" s="5">
        <v>1.0</v>
      </c>
      <c r="G42" s="5">
        <v>1.0</v>
      </c>
      <c r="H42" s="5">
        <v>1.0</v>
      </c>
      <c r="I42" s="5">
        <v>0.0</v>
      </c>
      <c r="J42" s="5">
        <v>1.0</v>
      </c>
      <c r="K42" s="5">
        <v>1.0</v>
      </c>
      <c r="L42" s="5">
        <v>1.0</v>
      </c>
      <c r="M42" s="5">
        <v>0.0</v>
      </c>
      <c r="N42" s="23">
        <v>1.0</v>
      </c>
      <c r="O42" s="5">
        <v>1.0</v>
      </c>
      <c r="P42" s="5">
        <v>1.0</v>
      </c>
      <c r="Q42" s="5">
        <v>0.0</v>
      </c>
      <c r="R42" s="5">
        <v>1.0</v>
      </c>
      <c r="U42" s="5">
        <v>1.0</v>
      </c>
      <c r="V42" s="5">
        <v>0.0</v>
      </c>
      <c r="W42" s="5">
        <v>1.0</v>
      </c>
      <c r="X42" s="5">
        <v>0.0</v>
      </c>
      <c r="Y42" s="5">
        <v>1.0</v>
      </c>
      <c r="Z42" s="25">
        <v>1.0</v>
      </c>
      <c r="AA42" s="5">
        <v>0.0</v>
      </c>
      <c r="AB42" s="5">
        <v>1.0</v>
      </c>
      <c r="AC42" s="5">
        <v>1.0</v>
      </c>
      <c r="AE42" s="5">
        <v>0.0</v>
      </c>
      <c r="AF42" s="5">
        <v>1.0</v>
      </c>
      <c r="AG42" s="32">
        <f t="shared" si="1"/>
        <v>17</v>
      </c>
      <c r="AH42" s="32">
        <f t="shared" si="2"/>
        <v>77.27</v>
      </c>
    </row>
    <row r="43" ht="14.25" customHeight="1">
      <c r="A43" s="20" t="s">
        <v>250</v>
      </c>
      <c r="B43" s="20" t="s">
        <v>251</v>
      </c>
      <c r="C43" s="20" t="s">
        <v>25</v>
      </c>
      <c r="D43" s="20" t="s">
        <v>252</v>
      </c>
      <c r="E43" s="20" t="s">
        <v>253</v>
      </c>
      <c r="F43" s="5">
        <v>1.0</v>
      </c>
      <c r="G43" s="5">
        <v>1.0</v>
      </c>
      <c r="H43" s="5">
        <v>1.0</v>
      </c>
      <c r="I43" s="5">
        <v>1.0</v>
      </c>
      <c r="J43" s="5">
        <v>1.0</v>
      </c>
      <c r="K43" s="5">
        <v>1.0</v>
      </c>
      <c r="L43" s="5">
        <v>1.0</v>
      </c>
      <c r="M43" s="5">
        <v>1.0</v>
      </c>
      <c r="N43" s="23">
        <v>1.0</v>
      </c>
      <c r="O43" s="5">
        <v>1.0</v>
      </c>
      <c r="P43" s="5">
        <v>1.0</v>
      </c>
      <c r="Q43" s="5">
        <v>1.0</v>
      </c>
      <c r="R43" s="5">
        <v>1.0</v>
      </c>
      <c r="U43" s="5">
        <v>1.0</v>
      </c>
      <c r="V43" s="5">
        <v>1.0</v>
      </c>
      <c r="W43" s="5">
        <v>1.0</v>
      </c>
      <c r="X43" s="5">
        <v>1.0</v>
      </c>
      <c r="Y43" s="5">
        <v>0.0</v>
      </c>
      <c r="Z43" s="25">
        <v>1.0</v>
      </c>
      <c r="AA43" s="5">
        <v>1.0</v>
      </c>
      <c r="AB43" s="5">
        <v>1.0</v>
      </c>
      <c r="AC43" s="5">
        <v>0.0</v>
      </c>
      <c r="AE43" s="5">
        <v>0.0</v>
      </c>
      <c r="AF43" s="5">
        <v>1.0</v>
      </c>
      <c r="AG43" s="32">
        <f t="shared" si="1"/>
        <v>21</v>
      </c>
      <c r="AH43" s="32">
        <f t="shared" si="2"/>
        <v>95.45</v>
      </c>
    </row>
    <row r="44" ht="14.25" customHeight="1">
      <c r="A44" s="20" t="s">
        <v>254</v>
      </c>
      <c r="B44" s="20" t="s">
        <v>255</v>
      </c>
      <c r="C44" s="20" t="s">
        <v>88</v>
      </c>
      <c r="D44" s="20" t="s">
        <v>256</v>
      </c>
      <c r="E44" s="20" t="s">
        <v>257</v>
      </c>
      <c r="F44" s="5">
        <v>1.0</v>
      </c>
      <c r="G44" s="5">
        <v>0.0</v>
      </c>
      <c r="H44" s="5">
        <v>1.0</v>
      </c>
      <c r="I44" s="5">
        <v>1.0</v>
      </c>
      <c r="J44" s="5">
        <v>1.0</v>
      </c>
      <c r="K44" s="5">
        <v>1.0</v>
      </c>
      <c r="L44" s="5">
        <v>1.0</v>
      </c>
      <c r="M44" s="5">
        <v>1.0</v>
      </c>
      <c r="N44" s="23">
        <v>1.0</v>
      </c>
      <c r="O44" s="5">
        <v>1.0</v>
      </c>
      <c r="P44" s="5">
        <v>1.0</v>
      </c>
      <c r="Q44" s="5">
        <v>0.0</v>
      </c>
      <c r="R44" s="5">
        <v>1.0</v>
      </c>
      <c r="U44" s="5">
        <v>1.0</v>
      </c>
      <c r="V44" s="5">
        <v>1.0</v>
      </c>
      <c r="W44" s="5">
        <v>1.0</v>
      </c>
      <c r="X44" s="5">
        <v>1.0</v>
      </c>
      <c r="Y44" s="5">
        <v>1.0</v>
      </c>
      <c r="Z44" s="25">
        <v>1.0</v>
      </c>
      <c r="AA44" s="5">
        <v>0.0</v>
      </c>
      <c r="AB44" s="5">
        <v>1.0</v>
      </c>
      <c r="AC44" s="5">
        <v>1.0</v>
      </c>
      <c r="AE44" s="5">
        <v>0.0</v>
      </c>
      <c r="AF44" s="5">
        <v>1.0</v>
      </c>
      <c r="AG44" s="32">
        <f t="shared" si="1"/>
        <v>20</v>
      </c>
      <c r="AH44" s="32">
        <f t="shared" si="2"/>
        <v>90.91</v>
      </c>
    </row>
    <row r="45" ht="14.25" customHeight="1">
      <c r="A45" s="20" t="s">
        <v>258</v>
      </c>
      <c r="B45" s="20" t="s">
        <v>259</v>
      </c>
      <c r="C45" s="20" t="s">
        <v>88</v>
      </c>
      <c r="D45" s="20" t="s">
        <v>260</v>
      </c>
      <c r="E45" s="20" t="s">
        <v>261</v>
      </c>
      <c r="F45" s="5">
        <v>1.0</v>
      </c>
      <c r="G45" s="5">
        <v>1.0</v>
      </c>
      <c r="H45" s="5">
        <v>1.0</v>
      </c>
      <c r="I45" s="5">
        <v>1.0</v>
      </c>
      <c r="J45" s="5">
        <v>1.0</v>
      </c>
      <c r="K45" s="5">
        <v>0.0</v>
      </c>
      <c r="L45" s="5">
        <v>1.0</v>
      </c>
      <c r="M45" s="5">
        <v>0.0</v>
      </c>
      <c r="N45" s="70"/>
      <c r="O45" s="5">
        <v>1.0</v>
      </c>
      <c r="P45" s="5">
        <v>1.0</v>
      </c>
      <c r="Q45" s="5">
        <v>0.0</v>
      </c>
      <c r="R45" s="5">
        <v>1.0</v>
      </c>
      <c r="U45" s="5">
        <v>1.0</v>
      </c>
      <c r="V45" s="5">
        <v>1.0</v>
      </c>
      <c r="W45" s="5">
        <v>0.0</v>
      </c>
      <c r="X45" s="5">
        <v>1.0</v>
      </c>
      <c r="Y45" s="5">
        <v>1.0</v>
      </c>
      <c r="Z45" s="25">
        <v>1.0</v>
      </c>
      <c r="AA45" s="5">
        <v>1.0</v>
      </c>
      <c r="AB45" s="5">
        <v>1.0</v>
      </c>
      <c r="AC45" s="5">
        <v>0.0</v>
      </c>
      <c r="AE45" s="5">
        <v>0.0</v>
      </c>
      <c r="AF45" s="5">
        <v>1.0</v>
      </c>
      <c r="AG45" s="32">
        <f t="shared" si="1"/>
        <v>17</v>
      </c>
      <c r="AH45" s="32">
        <f t="shared" si="2"/>
        <v>77.27</v>
      </c>
    </row>
    <row r="46" ht="14.25" customHeight="1">
      <c r="A46" s="71"/>
      <c r="B46" s="71"/>
      <c r="C46" s="71"/>
      <c r="D46" s="71"/>
      <c r="E46" s="71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E1"/>
    <mergeCell ref="A2:E2"/>
    <mergeCell ref="A3:E3"/>
    <mergeCell ref="A4:E4"/>
    <mergeCell ref="A5:E5"/>
    <mergeCell ref="A6:E6"/>
    <mergeCell ref="S6:T6"/>
  </mergeCells>
  <conditionalFormatting sqref="AH8:AH45">
    <cfRule type="cellIs" dxfId="5" priority="1" operator="lessThanOrEqual">
      <formula>68</formula>
    </cfRule>
  </conditionalFormatting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14"/>
  </cols>
  <sheetData>
    <row r="1">
      <c r="A1" s="16" t="s">
        <v>17</v>
      </c>
      <c r="B1" s="18" t="s">
        <v>23</v>
      </c>
      <c r="C1" s="21" t="s">
        <v>24</v>
      </c>
      <c r="D1" s="22"/>
      <c r="E1" s="24"/>
      <c r="F1" s="27" t="s">
        <v>29</v>
      </c>
      <c r="G1" s="29"/>
    </row>
    <row r="2">
      <c r="A2" s="31" t="s">
        <v>30</v>
      </c>
      <c r="B2" s="34" t="s">
        <v>34</v>
      </c>
      <c r="C2" s="36" t="s">
        <v>41</v>
      </c>
      <c r="D2" s="37" t="s">
        <v>49</v>
      </c>
      <c r="E2" s="24"/>
      <c r="F2" s="39" t="s">
        <v>54</v>
      </c>
      <c r="G2" s="40">
        <v>13.0</v>
      </c>
    </row>
    <row r="3">
      <c r="A3" s="42" t="s">
        <v>62</v>
      </c>
      <c r="B3" s="34" t="s">
        <v>64</v>
      </c>
      <c r="C3" s="44" t="s">
        <v>66</v>
      </c>
      <c r="D3" s="37" t="s">
        <v>49</v>
      </c>
      <c r="E3" s="24"/>
      <c r="F3" s="46" t="s">
        <v>72</v>
      </c>
      <c r="G3" s="48">
        <v>11.0</v>
      </c>
    </row>
    <row r="4">
      <c r="A4" s="31" t="s">
        <v>86</v>
      </c>
      <c r="B4" s="34" t="s">
        <v>34</v>
      </c>
      <c r="C4" s="36" t="s">
        <v>91</v>
      </c>
      <c r="D4" s="37" t="s">
        <v>49</v>
      </c>
      <c r="E4" s="24"/>
      <c r="F4" s="50"/>
      <c r="G4" s="50"/>
    </row>
    <row r="5">
      <c r="A5" s="42" t="s">
        <v>92</v>
      </c>
      <c r="B5" s="34" t="s">
        <v>64</v>
      </c>
      <c r="C5" s="44" t="s">
        <v>93</v>
      </c>
      <c r="D5" s="37" t="s">
        <v>49</v>
      </c>
      <c r="E5" s="24"/>
      <c r="F5" s="50"/>
      <c r="G5" s="50"/>
    </row>
    <row r="6">
      <c r="A6" s="31" t="s">
        <v>97</v>
      </c>
      <c r="B6" s="34" t="s">
        <v>34</v>
      </c>
      <c r="C6" s="36" t="s">
        <v>99</v>
      </c>
      <c r="D6" s="37" t="s">
        <v>49</v>
      </c>
      <c r="E6" s="24"/>
      <c r="F6" s="50"/>
      <c r="G6" s="50"/>
    </row>
    <row r="7">
      <c r="A7" s="42" t="s">
        <v>100</v>
      </c>
      <c r="B7" s="34" t="s">
        <v>64</v>
      </c>
      <c r="C7" s="44" t="s">
        <v>101</v>
      </c>
      <c r="D7" s="37" t="s">
        <v>49</v>
      </c>
      <c r="E7" s="24"/>
      <c r="F7" s="50"/>
      <c r="G7" s="50"/>
    </row>
    <row r="8">
      <c r="A8" s="31" t="s">
        <v>102</v>
      </c>
      <c r="B8" s="34" t="s">
        <v>34</v>
      </c>
      <c r="C8" s="36" t="s">
        <v>105</v>
      </c>
      <c r="D8" s="37" t="s">
        <v>49</v>
      </c>
      <c r="E8" s="24"/>
      <c r="F8" s="50"/>
      <c r="G8" s="50"/>
    </row>
    <row r="9">
      <c r="A9" s="42" t="s">
        <v>108</v>
      </c>
      <c r="B9" s="34" t="s">
        <v>64</v>
      </c>
      <c r="C9" s="44" t="s">
        <v>109</v>
      </c>
      <c r="D9" s="37" t="s">
        <v>49</v>
      </c>
      <c r="E9" s="24"/>
      <c r="F9" s="50"/>
      <c r="G9" s="50"/>
    </row>
    <row r="10">
      <c r="A10" s="31" t="s">
        <v>110</v>
      </c>
      <c r="B10" s="34" t="s">
        <v>34</v>
      </c>
      <c r="C10" s="36" t="s">
        <v>111</v>
      </c>
      <c r="D10" s="37" t="s">
        <v>49</v>
      </c>
      <c r="E10" s="24"/>
      <c r="F10" s="50"/>
      <c r="G10" s="50"/>
    </row>
    <row r="11">
      <c r="A11" s="42" t="s">
        <v>115</v>
      </c>
      <c r="B11" s="34" t="s">
        <v>64</v>
      </c>
      <c r="C11" s="44" t="s">
        <v>117</v>
      </c>
      <c r="D11" s="37" t="s">
        <v>49</v>
      </c>
      <c r="E11" s="24"/>
      <c r="F11" s="50"/>
      <c r="G11" s="50"/>
    </row>
    <row r="12">
      <c r="A12" s="31" t="s">
        <v>118</v>
      </c>
      <c r="B12" s="34" t="s">
        <v>34</v>
      </c>
      <c r="C12" s="36" t="s">
        <v>119</v>
      </c>
      <c r="D12" s="37" t="s">
        <v>49</v>
      </c>
      <c r="E12" s="24"/>
      <c r="F12" s="50"/>
      <c r="G12" s="50"/>
    </row>
    <row r="13">
      <c r="A13" s="42" t="s">
        <v>120</v>
      </c>
      <c r="B13" s="34" t="s">
        <v>64</v>
      </c>
      <c r="C13" s="44" t="s">
        <v>121</v>
      </c>
      <c r="D13" s="37" t="s">
        <v>49</v>
      </c>
      <c r="E13" s="24"/>
      <c r="F13" s="50"/>
      <c r="G13" s="50"/>
    </row>
    <row r="14">
      <c r="A14" s="52" t="s">
        <v>126</v>
      </c>
      <c r="B14" s="53" t="s">
        <v>34</v>
      </c>
      <c r="C14" s="54" t="s">
        <v>131</v>
      </c>
      <c r="D14" s="37" t="s">
        <v>49</v>
      </c>
      <c r="E14" s="24"/>
      <c r="F14" s="50"/>
      <c r="G14" s="50"/>
    </row>
    <row r="15">
      <c r="A15" s="55" t="s">
        <v>133</v>
      </c>
      <c r="B15" s="56" t="s">
        <v>64</v>
      </c>
      <c r="C15" s="57" t="s">
        <v>137</v>
      </c>
      <c r="D15" s="37" t="s">
        <v>49</v>
      </c>
      <c r="E15" s="24"/>
      <c r="F15" s="50"/>
      <c r="G15" s="50"/>
    </row>
    <row r="16">
      <c r="A16" s="31" t="s">
        <v>142</v>
      </c>
      <c r="B16" s="34" t="s">
        <v>34</v>
      </c>
      <c r="C16" s="36" t="s">
        <v>143</v>
      </c>
      <c r="D16" s="37" t="s">
        <v>49</v>
      </c>
      <c r="E16" s="24"/>
      <c r="F16" s="50"/>
      <c r="G16" s="50"/>
    </row>
    <row r="17">
      <c r="A17" s="42" t="s">
        <v>145</v>
      </c>
      <c r="B17" s="34" t="s">
        <v>64</v>
      </c>
      <c r="C17" s="44" t="s">
        <v>149</v>
      </c>
      <c r="D17" s="37" t="s">
        <v>49</v>
      </c>
      <c r="E17" s="24"/>
      <c r="F17" s="50"/>
      <c r="G17" s="50"/>
    </row>
    <row r="18">
      <c r="A18" s="31" t="s">
        <v>150</v>
      </c>
      <c r="B18" s="34" t="s">
        <v>34</v>
      </c>
      <c r="C18" s="36" t="s">
        <v>151</v>
      </c>
      <c r="D18" s="37" t="s">
        <v>49</v>
      </c>
      <c r="E18" s="24"/>
      <c r="F18" s="50"/>
      <c r="G18" s="50"/>
    </row>
    <row r="19">
      <c r="A19" s="42" t="s">
        <v>152</v>
      </c>
      <c r="B19" s="34" t="s">
        <v>64</v>
      </c>
      <c r="C19" s="44" t="s">
        <v>155</v>
      </c>
      <c r="D19" s="37" t="s">
        <v>157</v>
      </c>
      <c r="E19" s="24"/>
      <c r="F19" s="50"/>
      <c r="G19" s="50"/>
    </row>
    <row r="20">
      <c r="A20" s="31" t="s">
        <v>159</v>
      </c>
      <c r="B20" s="34" t="s">
        <v>34</v>
      </c>
      <c r="C20" s="36" t="s">
        <v>160</v>
      </c>
      <c r="D20" s="37" t="s">
        <v>157</v>
      </c>
      <c r="E20" s="24"/>
      <c r="F20" s="50"/>
      <c r="G20" s="50"/>
    </row>
    <row r="21">
      <c r="A21" s="42" t="s">
        <v>161</v>
      </c>
      <c r="B21" s="34" t="s">
        <v>64</v>
      </c>
      <c r="C21" s="44" t="s">
        <v>163</v>
      </c>
      <c r="D21" s="37" t="s">
        <v>157</v>
      </c>
      <c r="E21" s="24"/>
      <c r="F21" s="50"/>
      <c r="G21" s="50"/>
    </row>
    <row r="22">
      <c r="A22" s="42" t="s">
        <v>167</v>
      </c>
      <c r="B22" s="34" t="s">
        <v>34</v>
      </c>
      <c r="C22" s="36" t="s">
        <v>168</v>
      </c>
      <c r="D22" s="37" t="s">
        <v>157</v>
      </c>
      <c r="E22" s="24"/>
      <c r="F22" s="24"/>
      <c r="G22" s="24"/>
    </row>
    <row r="23">
      <c r="A23" s="42" t="s">
        <v>169</v>
      </c>
      <c r="B23" s="34" t="s">
        <v>64</v>
      </c>
      <c r="C23" s="44" t="s">
        <v>170</v>
      </c>
      <c r="D23" s="37" t="s">
        <v>157</v>
      </c>
      <c r="E23" s="24"/>
      <c r="F23" s="24"/>
      <c r="G23" s="24"/>
    </row>
    <row r="24">
      <c r="A24" s="42" t="s">
        <v>173</v>
      </c>
      <c r="B24" s="58" t="s">
        <v>34</v>
      </c>
      <c r="C24" s="59" t="s">
        <v>180</v>
      </c>
      <c r="D24" s="60"/>
      <c r="E24" s="24"/>
      <c r="F24" s="24"/>
      <c r="G24" s="24"/>
    </row>
    <row r="25">
      <c r="A25" s="42" t="s">
        <v>185</v>
      </c>
      <c r="B25" s="58" t="s">
        <v>64</v>
      </c>
      <c r="C25" s="59" t="s">
        <v>180</v>
      </c>
    </row>
  </sheetData>
  <mergeCells count="1">
    <mergeCell ref="F1:G1"/>
  </mergeCells>
  <dataValidations>
    <dataValidation type="list" allowBlank="1" showErrorMessage="1" sqref="B2:B25">
      <formula1>"Monday,Wednesday,Thursday,Saturday,Friday,Tuesday,Sunday"</formula1>
    </dataValidation>
  </dataValidations>
  <drawing r:id="rId1"/>
  <tableParts count="1">
    <tablePart r:id="rId3"/>
  </tableParts>
</worksheet>
</file>