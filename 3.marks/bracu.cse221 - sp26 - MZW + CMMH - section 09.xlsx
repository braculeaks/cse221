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Marks" sheetId="1" r:id="rId5"/>
  </sheets>
  <definedNames/>
  <calcPr/>
</workbook>
</file>

<file path=xl/sharedStrings.xml><?xml version="1.0" encoding="utf-8"?>
<sst xmlns="http://schemas.openxmlformats.org/spreadsheetml/2006/main" count="10" uniqueCount="10">
  <si>
    <t>Student</t>
  </si>
  <si>
    <t>mean</t>
  </si>
  <si>
    <t>median</t>
  </si>
  <si>
    <t>mode</t>
  </si>
  <si>
    <t>min</t>
  </si>
  <si>
    <t>max</t>
  </si>
  <si>
    <t>count</t>
  </si>
  <si>
    <t>zeros</t>
  </si>
  <si>
    <t>09</t>
  </si>
  <si>
    <t>https://docs.google.com/spreadsheets/d/1S7MXys4HWFTr23f_BYm3j8k3QTmT5Y2IpRcKCIuNR5Q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</si>
</sst>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vertical="center"/>
    </xf>
    <xf borderId="1" fillId="2" fontId="2" numFmtId="49" xfId="0" applyAlignment="1" applyBorder="1" applyFont="1" applyNumberFormat="1">
      <alignment horizontal="left" shrinkToFit="0" vertical="bottom" wrapText="0"/>
    </xf>
    <xf borderId="0" fillId="0" fontId="3" numFmtId="0" xfId="0" applyAlignment="1" applyFont="1">
      <alignment vertical="center"/>
    </xf>
    <xf borderId="1" fillId="2" fontId="2" numFmtId="49" xfId="0" applyAlignment="1" applyBorder="1" applyFont="1" applyNumberFormat="1">
      <alignment horizontal="left" shrinkToFit="0" vertical="center" wrapText="0"/>
    </xf>
    <xf borderId="1" fillId="2" fontId="4" numFmtId="49" xfId="0" applyBorder="1" applyFont="1" applyNumberFormat="1"/>
    <xf borderId="0" fillId="0" fontId="4" numFmtId="0" xfId="0" applyFont="1"/>
    <xf borderId="1" fillId="2" fontId="4" numFmtId="0" xfId="0" applyAlignment="1" applyBorder="1" applyFont="1">
      <alignment readingOrder="0"/>
    </xf>
    <xf borderId="0" fillId="0" fontId="5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7MXys4HWFTr23f_BYm3j8k3QTmT5Y2IpRcKCIuNR5Q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1">
        <f>counta(A3:A42)</f>
        <v>38</v>
      </c>
      <c r="B1" s="1" t="str">
        <f>IFERROR(__xludf.DUMMYFUNCTION("importrange(B50,""FinalMarks!C1:2"")"),"25")</f>
        <v>25</v>
      </c>
      <c r="C1" s="1" t="str">
        <f>IFERROR(__xludf.DUMMYFUNCTION("""COMPUTED_VALUE"""),"20")</f>
        <v>20</v>
      </c>
      <c r="D1" s="1" t="str">
        <f>IFERROR(__xludf.DUMMYFUNCTION("""COMPUTED_VALUE"""),"5")</f>
        <v>5</v>
      </c>
      <c r="E1" s="1" t="str">
        <f>IFERROR(__xludf.DUMMYFUNCTION("""COMPUTED_VALUE"""),"2")</f>
        <v>2</v>
      </c>
      <c r="F1" s="1" t="str">
        <f>IFERROR(__xludf.DUMMYFUNCTION("""COMPUTED_VALUE"""),"2")</f>
        <v>2</v>
      </c>
      <c r="G1" s="1" t="str">
        <f>IFERROR(__xludf.DUMMYFUNCTION("""COMPUTED_VALUE"""),"1")</f>
        <v>1</v>
      </c>
      <c r="H1" s="1" t="str">
        <f>IFERROR(__xludf.DUMMYFUNCTION("""COMPUTED_VALUE"""),"2")</f>
        <v>2</v>
      </c>
      <c r="I1" s="1" t="str">
        <f>IFERROR(__xludf.DUMMYFUNCTION("""COMPUTED_VALUE"""),"2")</f>
        <v>2</v>
      </c>
      <c r="J1" s="1" t="str">
        <f>IFERROR(__xludf.DUMMYFUNCTION("""COMPUTED_VALUE"""),"8")</f>
        <v>8</v>
      </c>
      <c r="K1" s="1" t="str">
        <f>IFERROR(__xludf.DUMMYFUNCTION("""COMPUTED_VALUE"""),"8")</f>
        <v>8</v>
      </c>
      <c r="L1" s="1" t="str">
        <f>IFERROR(__xludf.DUMMYFUNCTION("""COMPUTED_VALUE"""),"8")</f>
        <v>8</v>
      </c>
      <c r="M1" s="1" t="str">
        <f>IFERROR(__xludf.DUMMYFUNCTION("""COMPUTED_VALUE"""),"8")</f>
        <v>8</v>
      </c>
      <c r="N1" s="1" t="str">
        <f>IFERROR(__xludf.DUMMYFUNCTION("""COMPUTED_VALUE"""),"8")</f>
        <v>8</v>
      </c>
      <c r="O1" s="1" t="str">
        <f>IFERROR(__xludf.DUMMYFUNCTION("""COMPUTED_VALUE"""),"8")</f>
        <v>8</v>
      </c>
      <c r="P1" s="1" t="str">
        <f>IFERROR(__xludf.DUMMYFUNCTION("""COMPUTED_VALUE"""),"6")</f>
        <v>6</v>
      </c>
      <c r="Q1" s="1" t="str">
        <f>IFERROR(__xludf.DUMMYFUNCTION("""COMPUTED_VALUE"""),"7")</f>
        <v>7</v>
      </c>
      <c r="R1" s="1" t="str">
        <f>IFERROR(__xludf.DUMMYFUNCTION("""COMPUTED_VALUE"""),"1")</f>
        <v>1</v>
      </c>
      <c r="S1" s="1" t="str">
        <f>IFERROR(__xludf.DUMMYFUNCTION("""COMPUTED_VALUE"""),"1")</f>
        <v>1</v>
      </c>
      <c r="T1" s="1" t="str">
        <f>IFERROR(__xludf.DUMMYFUNCTION("""COMPUTED_VALUE"""),"1")</f>
        <v>1</v>
      </c>
      <c r="U1" s="1" t="str">
        <f>IFERROR(__xludf.DUMMYFUNCTION("""COMPUTED_VALUE"""),"1")</f>
        <v>1</v>
      </c>
      <c r="V1" s="1" t="str">
        <f>IFERROR(__xludf.DUMMYFUNCTION("""COMPUTED_VALUE"""),"1")</f>
        <v>1</v>
      </c>
      <c r="W1" s="1" t="str">
        <f>IFERROR(__xludf.DUMMYFUNCTION("""COMPUTED_VALUE"""),"1")</f>
        <v>1</v>
      </c>
      <c r="X1" s="1" t="str">
        <f>IFERROR(__xludf.DUMMYFUNCTION("""COMPUTED_VALUE"""),"2")</f>
        <v>2</v>
      </c>
      <c r="Y1" s="1" t="str">
        <f>IFERROR(__xludf.DUMMYFUNCTION("""COMPUTED_VALUE"""),"2")</f>
        <v>2</v>
      </c>
      <c r="Z1" s="1" t="str">
        <f>IFERROR(__xludf.DUMMYFUNCTION("""COMPUTED_VALUE"""),"2")</f>
        <v>2</v>
      </c>
      <c r="AA1" s="1" t="str">
        <f>IFERROR(__xludf.DUMMYFUNCTION("""COMPUTED_VALUE"""),"2")</f>
        <v>2</v>
      </c>
      <c r="AB1" s="1" t="str">
        <f>IFERROR(__xludf.DUMMYFUNCTION("""COMPUTED_VALUE"""),"2")</f>
        <v>2</v>
      </c>
      <c r="AC1" s="1" t="str">
        <f>IFERROR(__xludf.DUMMYFUNCTION("""COMPUTED_VALUE"""),"2")</f>
        <v>2</v>
      </c>
      <c r="AD1" s="1" t="str">
        <f>IFERROR(__xludf.DUMMYFUNCTION("""COMPUTED_VALUE"""),"3")</f>
        <v>3</v>
      </c>
      <c r="AE1" s="1" t="str">
        <f>IFERROR(__xludf.DUMMYFUNCTION("""COMPUTED_VALUE"""),"3")</f>
        <v>3</v>
      </c>
      <c r="AF1" s="1" t="str">
        <f>IFERROR(__xludf.DUMMYFUNCTION("""COMPUTED_VALUE"""),"3")</f>
        <v>3</v>
      </c>
      <c r="AG1" s="1" t="str">
        <f>IFERROR(__xludf.DUMMYFUNCTION("""COMPUTED_VALUE"""),"4")</f>
        <v>4</v>
      </c>
      <c r="AH1" s="1" t="str">
        <f>IFERROR(__xludf.DUMMYFUNCTION("""COMPUTED_VALUE"""),"4")</f>
        <v>4</v>
      </c>
      <c r="AI1" s="1" t="str">
        <f>IFERROR(__xludf.DUMMYFUNCTION("""COMPUTED_VALUE"""),"4")</f>
        <v>4</v>
      </c>
      <c r="AJ1" s="1" t="str">
        <f>IFERROR(__xludf.DUMMYFUNCTION("""COMPUTED_VALUE"""),"4")</f>
        <v>4</v>
      </c>
      <c r="AK1" s="1" t="str">
        <f>IFERROR(__xludf.DUMMYFUNCTION("""COMPUTED_VALUE"""),"4")</f>
        <v>4</v>
      </c>
      <c r="AL1" s="1" t="str">
        <f>IFERROR(__xludf.DUMMYFUNCTION("""COMPUTED_VALUE"""),"4")</f>
        <v>4</v>
      </c>
      <c r="AM1" s="1" t="str">
        <f>IFERROR(__xludf.DUMMYFUNCTION("""COMPUTED_VALUE"""),"4")</f>
        <v>4</v>
      </c>
      <c r="AN1" s="1" t="str">
        <f>IFERROR(__xludf.DUMMYFUNCTION("""COMPUTED_VALUE"""),"5")</f>
        <v>5</v>
      </c>
      <c r="AO1" s="1" t="str">
        <f>IFERROR(__xludf.DUMMYFUNCTION("""COMPUTED_VALUE"""),"5")</f>
        <v>5</v>
      </c>
      <c r="AP1" s="1" t="str">
        <f>IFERROR(__xludf.DUMMYFUNCTION("""COMPUTED_VALUE"""),"5")</f>
        <v>5</v>
      </c>
      <c r="AQ1" s="1" t="str">
        <f>IFERROR(__xludf.DUMMYFUNCTION("""COMPUTED_VALUE"""),"5")</f>
        <v>5</v>
      </c>
      <c r="AR1" s="1" t="str">
        <f>IFERROR(__xludf.DUMMYFUNCTION("""COMPUTED_VALUE"""),"5")</f>
        <v>5</v>
      </c>
      <c r="AS1" s="1" t="str">
        <f>IFERROR(__xludf.DUMMYFUNCTION("""COMPUTED_VALUE"""),"5")</f>
        <v>5</v>
      </c>
      <c r="AT1" s="1" t="str">
        <f>IFERROR(__xludf.DUMMYFUNCTION("""COMPUTED_VALUE"""),"5")</f>
        <v>5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>
      <c r="A2" s="1" t="s">
        <v>0</v>
      </c>
      <c r="B2" s="1" t="str">
        <f>IFERROR(__xludf.DUMMYFUNCTION("""COMPUTED_VALUE"""),"Total")</f>
        <v>Total</v>
      </c>
      <c r="C2" s="1" t="str">
        <f>IFERROR(__xludf.DUMMYFUNCTION("""COMPUTED_VALUE"""),"Quiz")</f>
        <v>Quiz</v>
      </c>
      <c r="D2" s="1" t="str">
        <f>IFERROR(__xludf.DUMMYFUNCTION("""COMPUTED_VALUE"""),"Assign")</f>
        <v>Assign</v>
      </c>
      <c r="E2" s="1" t="str">
        <f>IFERROR(__xludf.DUMMYFUNCTION("""COMPUTED_VALUE"""),"Quiz1")</f>
        <v>Quiz1</v>
      </c>
      <c r="F2" s="1" t="str">
        <f>IFERROR(__xludf.DUMMYFUNCTION("""COMPUTED_VALUE"""),"Quiz2")</f>
        <v>Quiz2</v>
      </c>
      <c r="G2" s="1" t="str">
        <f>IFERROR(__xludf.DUMMYFUNCTION("""COMPUTED_VALUE"""),"Quiz3")</f>
        <v>Quiz3</v>
      </c>
      <c r="H2" s="1" t="str">
        <f>IFERROR(__xludf.DUMMYFUNCTION("""COMPUTED_VALUE"""),"Quiz4")</f>
        <v>Quiz4</v>
      </c>
      <c r="I2" s="1" t="str">
        <f>IFERROR(__xludf.DUMMYFUNCTION("""COMPUTED_VALUE"""),"Quiz5")</f>
        <v>Quiz5</v>
      </c>
      <c r="J2" s="1" t="str">
        <f>IFERROR(__xludf.DUMMYFUNCTION("""COMPUTED_VALUE"""),"Assign1")</f>
        <v>Assign1</v>
      </c>
      <c r="K2" s="1" t="str">
        <f>IFERROR(__xludf.DUMMYFUNCTION("""COMPUTED_VALUE"""),"Assign2")</f>
        <v>Assign2</v>
      </c>
      <c r="L2" s="1" t="str">
        <f>IFERROR(__xludf.DUMMYFUNCTION("""COMPUTED_VALUE"""),"Assign3")</f>
        <v>Assign3</v>
      </c>
      <c r="M2" s="1" t="str">
        <f>IFERROR(__xludf.DUMMYFUNCTION("""COMPUTED_VALUE"""),"Assign4")</f>
        <v>Assign4</v>
      </c>
      <c r="N2" s="1" t="str">
        <f>IFERROR(__xludf.DUMMYFUNCTION("""COMPUTED_VALUE"""),"Assign5")</f>
        <v>Assign5</v>
      </c>
      <c r="O2" s="1" t="str">
        <f>IFERROR(__xludf.DUMMYFUNCTION("""COMPUTED_VALUE"""),"Assign6")</f>
        <v>Assign6</v>
      </c>
      <c r="P2" s="1" t="str">
        <f>IFERROR(__xludf.DUMMYFUNCTION("""COMPUTED_VALUE"""),"Assign7")</f>
        <v>Assign7</v>
      </c>
      <c r="Q2" s="1" t="str">
        <f>IFERROR(__xludf.DUMMYFUNCTION("""COMPUTED_VALUE"""),"Assign8")</f>
        <v>Assign8</v>
      </c>
      <c r="R2" s="1" t="str">
        <f>IFERROR(__xludf.DUMMYFUNCTION("""COMPUTED_VALUE"""),"_202")</f>
        <v>_202</v>
      </c>
      <c r="S2" s="1" t="str">
        <f>IFERROR(__xludf.DUMMYFUNCTION("""COMPUTED_VALUE"""),"_205")</f>
        <v>_205</v>
      </c>
      <c r="T2" s="1" t="str">
        <f>IFERROR(__xludf.DUMMYFUNCTION("""COMPUTED_VALUE"""),"_206")</f>
        <v>_206</v>
      </c>
      <c r="U2" s="1" t="str">
        <f>IFERROR(__xludf.DUMMYFUNCTION("""COMPUTED_VALUE"""),"_207")</f>
        <v>_207</v>
      </c>
      <c r="V2" s="1" t="str">
        <f>IFERROR(__xludf.DUMMYFUNCTION("""COMPUTED_VALUE"""),"_210")</f>
        <v>_210</v>
      </c>
      <c r="W2" s="1" t="str">
        <f>IFERROR(__xludf.DUMMYFUNCTION("""COMPUTED_VALUE"""),"_218")</f>
        <v>_218</v>
      </c>
      <c r="X2" s="1" t="str">
        <f>IFERROR(__xludf.DUMMYFUNCTION("""COMPUTED_VALUE"""),"_307")</f>
        <v>_307</v>
      </c>
      <c r="Y2" s="1" t="str">
        <f>IFERROR(__xludf.DUMMYFUNCTION("""COMPUTED_VALUE"""),"_311")</f>
        <v>_311</v>
      </c>
      <c r="Z2" s="1" t="str">
        <f>IFERROR(__xludf.DUMMYFUNCTION("""COMPUTED_VALUE"""),"_323")</f>
        <v>_323</v>
      </c>
      <c r="AA2" s="1" t="str">
        <f>IFERROR(__xludf.DUMMYFUNCTION("""COMPUTED_VALUE"""),"_402")</f>
        <v>_402</v>
      </c>
      <c r="AB2" s="1" t="str">
        <f>IFERROR(__xludf.DUMMYFUNCTION("""COMPUTED_VALUE"""),"_410")</f>
        <v>_410</v>
      </c>
      <c r="AC2" s="1" t="str">
        <f>IFERROR(__xludf.DUMMYFUNCTION("""COMPUTED_VALUE"""),"_414")</f>
        <v>_414</v>
      </c>
      <c r="AD2" s="1" t="str">
        <f>IFERROR(__xludf.DUMMYFUNCTION("""COMPUTED_VALUE"""),"_518")</f>
        <v>_518</v>
      </c>
      <c r="AE2" s="1" t="str">
        <f>IFERROR(__xludf.DUMMYFUNCTION("""COMPUTED_VALUE"""),"_522")</f>
        <v>_522</v>
      </c>
      <c r="AF2" s="1" t="str">
        <f>IFERROR(__xludf.DUMMYFUNCTION("""COMPUTED_VALUE"""),"_526")</f>
        <v>_526</v>
      </c>
      <c r="AG2" s="1" t="str">
        <f>IFERROR(__xludf.DUMMYFUNCTION("""COMPUTED_VALUE"""),"_605")</f>
        <v>_605</v>
      </c>
      <c r="AH2" s="1" t="str">
        <f>IFERROR(__xludf.DUMMYFUNCTION("""COMPUTED_VALUE"""),"_606")</f>
        <v>_606</v>
      </c>
      <c r="AI2" s="1" t="str">
        <f>IFERROR(__xludf.DUMMYFUNCTION("""COMPUTED_VALUE"""),"_610")</f>
        <v>_610</v>
      </c>
      <c r="AJ2" s="1" t="str">
        <f>IFERROR(__xludf.DUMMYFUNCTION("""COMPUTED_VALUE"""),"_611")</f>
        <v>_611</v>
      </c>
      <c r="AK2" s="1" t="str">
        <f>IFERROR(__xludf.DUMMYFUNCTION("""COMPUTED_VALUE"""),"_613")</f>
        <v>_613</v>
      </c>
      <c r="AL2" s="1" t="str">
        <f>IFERROR(__xludf.DUMMYFUNCTION("""COMPUTED_VALUE"""),"_614")</f>
        <v>_614</v>
      </c>
      <c r="AM2" s="1" t="str">
        <f>IFERROR(__xludf.DUMMYFUNCTION("""COMPUTED_VALUE"""),"_618")</f>
        <v>_618</v>
      </c>
      <c r="AN2" s="1" t="str">
        <f>IFERROR(__xludf.DUMMYFUNCTION("""COMPUTED_VALUE"""),"_706")</f>
        <v>_706</v>
      </c>
      <c r="AO2" s="1" t="str">
        <f>IFERROR(__xludf.DUMMYFUNCTION("""COMPUTED_VALUE"""),"_714")</f>
        <v>_714</v>
      </c>
      <c r="AP2" s="1" t="str">
        <f>IFERROR(__xludf.DUMMYFUNCTION("""COMPUTED_VALUE"""),"_715")</f>
        <v>_715</v>
      </c>
      <c r="AQ2" s="1" t="str">
        <f>IFERROR(__xludf.DUMMYFUNCTION("""COMPUTED_VALUE"""),"_717")</f>
        <v>_717</v>
      </c>
      <c r="AR2" s="1" t="str">
        <f>IFERROR(__xludf.DUMMYFUNCTION("""COMPUTED_VALUE"""),"_718")</f>
        <v>_718</v>
      </c>
      <c r="AS2" s="1" t="str">
        <f>IFERROR(__xludf.DUMMYFUNCTION("""COMPUTED_VALUE"""),"_722")</f>
        <v>_722</v>
      </c>
      <c r="AT2" s="1" t="str">
        <f>IFERROR(__xludf.DUMMYFUNCTION("""COMPUTED_VALUE"""),"_723")</f>
        <v>_723</v>
      </c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>
      <c r="A3" s="2" t="str">
        <f>IFERROR(__xludf.DUMMYFUNCTION("let(rng,query(importrange(B50,""FinalMarks!A3:BZ""),""select * where Col1 = '"" &amp; A50 &amp; ""'""),choosecols(rng,sequence(1,columns(rng)-1,2,1)))"),"22101680")</f>
        <v>22101680</v>
      </c>
      <c r="B3" s="3">
        <f>IFERROR(__xludf.DUMMYFUNCTION("""COMPUTED_VALUE"""),2.830188679245283)</f>
        <v>2.830188679</v>
      </c>
      <c r="C3" s="3">
        <f>IFERROR(__xludf.DUMMYFUNCTION("""COMPUTED_VALUE"""),0.0)</f>
        <v>0</v>
      </c>
      <c r="D3" s="3">
        <f>IFERROR(__xludf.DUMMYFUNCTION("""COMPUTED_VALUE"""),2.830188679245283)</f>
        <v>2.830188679</v>
      </c>
      <c r="E3" s="3">
        <f>IFERROR(__xludf.DUMMYFUNCTION("""COMPUTED_VALUE"""),0.0)</f>
        <v>0</v>
      </c>
      <c r="F3" s="3">
        <f>IFERROR(__xludf.DUMMYFUNCTION("""COMPUTED_VALUE"""),0.0)</f>
        <v>0</v>
      </c>
      <c r="G3" s="3">
        <f>IFERROR(__xludf.DUMMYFUNCTION("""COMPUTED_VALUE"""),0.0)</f>
        <v>0</v>
      </c>
      <c r="H3" s="3">
        <f>IFERROR(__xludf.DUMMYFUNCTION("""COMPUTED_VALUE"""),0.0)</f>
        <v>0</v>
      </c>
      <c r="I3" s="3">
        <f>IFERROR(__xludf.DUMMYFUNCTION("""COMPUTED_VALUE"""),0.0)</f>
        <v>0</v>
      </c>
      <c r="J3" s="3">
        <f>IFERROR(__xludf.DUMMYFUNCTION("""COMPUTED_VALUE"""),3.0)</f>
        <v>3</v>
      </c>
      <c r="K3" s="3">
        <f>IFERROR(__xludf.DUMMYFUNCTION("""COMPUTED_VALUE"""),6.0)</f>
        <v>6</v>
      </c>
      <c r="L3" s="3">
        <f>IFERROR(__xludf.DUMMYFUNCTION("""COMPUTED_VALUE"""),0.0)</f>
        <v>0</v>
      </c>
      <c r="M3" s="3">
        <f>IFERROR(__xludf.DUMMYFUNCTION("""COMPUTED_VALUE"""),8.0)</f>
        <v>8</v>
      </c>
      <c r="N3" s="3">
        <f>IFERROR(__xludf.DUMMYFUNCTION("""COMPUTED_VALUE"""),5.0)</f>
        <v>5</v>
      </c>
      <c r="O3" s="3">
        <f>IFERROR(__xludf.DUMMYFUNCTION("""COMPUTED_VALUE"""),4.0)</f>
        <v>4</v>
      </c>
      <c r="P3" s="3">
        <f>IFERROR(__xludf.DUMMYFUNCTION("""COMPUTED_VALUE"""),4.0)</f>
        <v>4</v>
      </c>
      <c r="Q3" s="3">
        <f>IFERROR(__xludf.DUMMYFUNCTION("""COMPUTED_VALUE"""),0.0)</f>
        <v>0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>
        <f>IFERROR(__xludf.DUMMYFUNCTION("""COMPUTED_VALUE"""),0.0)</f>
        <v>0</v>
      </c>
      <c r="AE3" s="3"/>
      <c r="AF3" s="3"/>
      <c r="AG3" s="3">
        <f>IFERROR(__xludf.DUMMYFUNCTION("""COMPUTED_VALUE"""),0.0)</f>
        <v>0</v>
      </c>
      <c r="AH3" s="3"/>
      <c r="AI3" s="3"/>
      <c r="AJ3" s="3"/>
      <c r="AK3" s="3"/>
      <c r="AL3" s="3"/>
      <c r="AM3" s="3">
        <f>IFERROR(__xludf.DUMMYFUNCTION("""COMPUTED_VALUE"""),0.0)</f>
        <v>0</v>
      </c>
      <c r="AN3" s="3"/>
      <c r="AO3" s="3">
        <f>IFERROR(__xludf.DUMMYFUNCTION("""COMPUTED_VALUE"""),0.0)</f>
        <v>0</v>
      </c>
      <c r="AP3" s="3"/>
      <c r="AQ3" s="3">
        <f>IFERROR(__xludf.DUMMYFUNCTION("""COMPUTED_VALUE"""),0.0)</f>
        <v>0</v>
      </c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</row>
    <row r="4">
      <c r="A4" s="2" t="str">
        <f>IFERROR(__xludf.DUMMYFUNCTION("""COMPUTED_VALUE"""),"22201188")</f>
        <v>22201188</v>
      </c>
      <c r="B4" s="3">
        <f>IFERROR(__xludf.DUMMYFUNCTION("""COMPUTED_VALUE"""),0.0)</f>
        <v>0</v>
      </c>
      <c r="C4" s="3">
        <f>IFERROR(__xludf.DUMMYFUNCTION("""COMPUTED_VALUE"""),0.0)</f>
        <v>0</v>
      </c>
      <c r="D4" s="3">
        <f>IFERROR(__xludf.DUMMYFUNCTION("""COMPUTED_VALUE"""),1.6037735849056602)</f>
        <v>1.603773585</v>
      </c>
      <c r="E4" s="3">
        <f>IFERROR(__xludf.DUMMYFUNCTION("""COMPUTED_VALUE"""),0.0)</f>
        <v>0</v>
      </c>
      <c r="F4" s="3">
        <f>IFERROR(__xludf.DUMMYFUNCTION("""COMPUTED_VALUE"""),0.0)</f>
        <v>0</v>
      </c>
      <c r="G4" s="3">
        <f>IFERROR(__xludf.DUMMYFUNCTION("""COMPUTED_VALUE"""),0.0)</f>
        <v>0</v>
      </c>
      <c r="H4" s="3">
        <f>IFERROR(__xludf.DUMMYFUNCTION("""COMPUTED_VALUE"""),0.0)</f>
        <v>0</v>
      </c>
      <c r="I4" s="3">
        <f>IFERROR(__xludf.DUMMYFUNCTION("""COMPUTED_VALUE"""),0.0)</f>
        <v>0</v>
      </c>
      <c r="J4" s="3">
        <f>IFERROR(__xludf.DUMMYFUNCTION("""COMPUTED_VALUE"""),0.0)</f>
        <v>0</v>
      </c>
      <c r="K4" s="3">
        <f>IFERROR(__xludf.DUMMYFUNCTION("""COMPUTED_VALUE"""),1.0)</f>
        <v>1</v>
      </c>
      <c r="L4" s="3">
        <f>IFERROR(__xludf.DUMMYFUNCTION("""COMPUTED_VALUE"""),8.0)</f>
        <v>8</v>
      </c>
      <c r="M4" s="3">
        <f>IFERROR(__xludf.DUMMYFUNCTION("""COMPUTED_VALUE"""),8.0)</f>
        <v>8</v>
      </c>
      <c r="N4" s="3">
        <f>IFERROR(__xludf.DUMMYFUNCTION("""COMPUTED_VALUE"""),0.0)</f>
        <v>0</v>
      </c>
      <c r="O4" s="3">
        <f>IFERROR(__xludf.DUMMYFUNCTION("""COMPUTED_VALUE"""),0.0)</f>
        <v>0</v>
      </c>
      <c r="P4" s="3">
        <f>IFERROR(__xludf.DUMMYFUNCTION("""COMPUTED_VALUE"""),0.0)</f>
        <v>0</v>
      </c>
      <c r="Q4" s="3">
        <f>IFERROR(__xludf.DUMMYFUNCTION("""COMPUTED_VALUE"""),0.0)</f>
        <v>0</v>
      </c>
      <c r="R4" s="3"/>
      <c r="S4" s="3"/>
      <c r="T4" s="3"/>
      <c r="U4" s="3"/>
      <c r="V4" s="3"/>
      <c r="W4" s="3"/>
      <c r="X4" s="3"/>
      <c r="Y4" s="3"/>
      <c r="Z4" s="3"/>
      <c r="AA4" s="3">
        <f>IFERROR(__xludf.DUMMYFUNCTION("""COMPUTED_VALUE"""),0.0)</f>
        <v>0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</row>
    <row r="5">
      <c r="A5" s="4" t="str">
        <f>IFERROR(__xludf.DUMMYFUNCTION("""COMPUTED_VALUE"""),"22201321")</f>
        <v>22201321</v>
      </c>
      <c r="B5" s="3">
        <f>IFERROR(__xludf.DUMMYFUNCTION("""COMPUTED_VALUE"""),0.0)</f>
        <v>0</v>
      </c>
      <c r="C5" s="3">
        <f>IFERROR(__xludf.DUMMYFUNCTION("""COMPUTED_VALUE"""),0.0)</f>
        <v>0</v>
      </c>
      <c r="D5" s="3">
        <f>IFERROR(__xludf.DUMMYFUNCTION("""COMPUTED_VALUE"""),0.2830188679245283)</f>
        <v>0.2830188679</v>
      </c>
      <c r="E5" s="3">
        <f>IFERROR(__xludf.DUMMYFUNCTION("""COMPUTED_VALUE"""),0.0)</f>
        <v>0</v>
      </c>
      <c r="F5" s="3">
        <f>IFERROR(__xludf.DUMMYFUNCTION("""COMPUTED_VALUE"""),0.0)</f>
        <v>0</v>
      </c>
      <c r="G5" s="3">
        <f>IFERROR(__xludf.DUMMYFUNCTION("""COMPUTED_VALUE"""),0.0)</f>
        <v>0</v>
      </c>
      <c r="H5" s="3">
        <f>IFERROR(__xludf.DUMMYFUNCTION("""COMPUTED_VALUE"""),0.0)</f>
        <v>0</v>
      </c>
      <c r="I5" s="3">
        <f>IFERROR(__xludf.DUMMYFUNCTION("""COMPUTED_VALUE"""),0.0)</f>
        <v>0</v>
      </c>
      <c r="J5" s="3">
        <f>IFERROR(__xludf.DUMMYFUNCTION("""COMPUTED_VALUE"""),3.0)</f>
        <v>3</v>
      </c>
      <c r="K5" s="3">
        <f>IFERROR(__xludf.DUMMYFUNCTION("""COMPUTED_VALUE"""),0.0)</f>
        <v>0</v>
      </c>
      <c r="L5" s="3">
        <f>IFERROR(__xludf.DUMMYFUNCTION("""COMPUTED_VALUE"""),0.0)</f>
        <v>0</v>
      </c>
      <c r="M5" s="3">
        <f>IFERROR(__xludf.DUMMYFUNCTION("""COMPUTED_VALUE"""),0.0)</f>
        <v>0</v>
      </c>
      <c r="N5" s="3">
        <f>IFERROR(__xludf.DUMMYFUNCTION("""COMPUTED_VALUE"""),0.0)</f>
        <v>0</v>
      </c>
      <c r="O5" s="3">
        <f>IFERROR(__xludf.DUMMYFUNCTION("""COMPUTED_VALUE"""),0.0)</f>
        <v>0</v>
      </c>
      <c r="P5" s="3">
        <f>IFERROR(__xludf.DUMMYFUNCTION("""COMPUTED_VALUE"""),0.0)</f>
        <v>0</v>
      </c>
      <c r="Q5" s="3">
        <f>IFERROR(__xludf.DUMMYFUNCTION("""COMPUTED_VALUE"""),0.0)</f>
        <v>0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</row>
    <row r="6">
      <c r="A6" s="2" t="str">
        <f>IFERROR(__xludf.DUMMYFUNCTION("""COMPUTED_VALUE"""),"22221138")</f>
        <v>22221138</v>
      </c>
      <c r="B6" s="3">
        <f>IFERROR(__xludf.DUMMYFUNCTION("""COMPUTED_VALUE"""),3.9622641509433967)</f>
        <v>3.962264151</v>
      </c>
      <c r="C6" s="3">
        <f>IFERROR(__xludf.DUMMYFUNCTION("""COMPUTED_VALUE"""),0.0)</f>
        <v>0</v>
      </c>
      <c r="D6" s="3">
        <f>IFERROR(__xludf.DUMMYFUNCTION("""COMPUTED_VALUE"""),3.9622641509433967)</f>
        <v>3.962264151</v>
      </c>
      <c r="E6" s="3">
        <f>IFERROR(__xludf.DUMMYFUNCTION("""COMPUTED_VALUE"""),0.0)</f>
        <v>0</v>
      </c>
      <c r="F6" s="3">
        <f>IFERROR(__xludf.DUMMYFUNCTION("""COMPUTED_VALUE"""),0.0)</f>
        <v>0</v>
      </c>
      <c r="G6" s="3">
        <f>IFERROR(__xludf.DUMMYFUNCTION("""COMPUTED_VALUE"""),0.0)</f>
        <v>0</v>
      </c>
      <c r="H6" s="3">
        <f>IFERROR(__xludf.DUMMYFUNCTION("""COMPUTED_VALUE"""),0.0)</f>
        <v>0</v>
      </c>
      <c r="I6" s="3">
        <f>IFERROR(__xludf.DUMMYFUNCTION("""COMPUTED_VALUE"""),0.0)</f>
        <v>0</v>
      </c>
      <c r="J6" s="3">
        <f>IFERROR(__xludf.DUMMYFUNCTION("""COMPUTED_VALUE"""),4.0)</f>
        <v>4</v>
      </c>
      <c r="K6" s="3">
        <f>IFERROR(__xludf.DUMMYFUNCTION("""COMPUTED_VALUE"""),8.0)</f>
        <v>8</v>
      </c>
      <c r="L6" s="3">
        <f>IFERROR(__xludf.DUMMYFUNCTION("""COMPUTED_VALUE"""),0.0)</f>
        <v>0</v>
      </c>
      <c r="M6" s="3">
        <f>IFERROR(__xludf.DUMMYFUNCTION("""COMPUTED_VALUE"""),6.0)</f>
        <v>6</v>
      </c>
      <c r="N6" s="3">
        <f>IFERROR(__xludf.DUMMYFUNCTION("""COMPUTED_VALUE"""),7.0)</f>
        <v>7</v>
      </c>
      <c r="O6" s="3">
        <f>IFERROR(__xludf.DUMMYFUNCTION("""COMPUTED_VALUE"""),8.0)</f>
        <v>8</v>
      </c>
      <c r="P6" s="3">
        <f>IFERROR(__xludf.DUMMYFUNCTION("""COMPUTED_VALUE"""),5.0)</f>
        <v>5</v>
      </c>
      <c r="Q6" s="3">
        <f>IFERROR(__xludf.DUMMYFUNCTION("""COMPUTED_VALUE"""),4.0)</f>
        <v>4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>
        <f>IFERROR(__xludf.DUMMYFUNCTION("""COMPUTED_VALUE"""),0.0)</f>
        <v>0</v>
      </c>
      <c r="AH6" s="3"/>
      <c r="AI6" s="3"/>
      <c r="AJ6" s="3"/>
      <c r="AK6" s="3"/>
      <c r="AL6" s="3"/>
      <c r="AM6" s="3">
        <f>IFERROR(__xludf.DUMMYFUNCTION("""COMPUTED_VALUE"""),0.0)</f>
        <v>0</v>
      </c>
      <c r="AN6" s="3"/>
      <c r="AO6" s="3">
        <f>IFERROR(__xludf.DUMMYFUNCTION("""COMPUTED_VALUE"""),0.0)</f>
        <v>0</v>
      </c>
      <c r="AP6" s="3"/>
      <c r="AQ6" s="3">
        <f>IFERROR(__xludf.DUMMYFUNCTION("""COMPUTED_VALUE"""),0.0)</f>
        <v>0</v>
      </c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</row>
    <row r="7">
      <c r="A7" s="2" t="str">
        <f>IFERROR(__xludf.DUMMYFUNCTION("""COMPUTED_VALUE"""),"22241101")</f>
        <v>22241101</v>
      </c>
      <c r="B7" s="3">
        <f>IFERROR(__xludf.DUMMYFUNCTION("""COMPUTED_VALUE"""),0.0)</f>
        <v>0</v>
      </c>
      <c r="C7" s="3">
        <f>IFERROR(__xludf.DUMMYFUNCTION("""COMPUTED_VALUE"""),0.0)</f>
        <v>0</v>
      </c>
      <c r="D7" s="3">
        <f>IFERROR(__xludf.DUMMYFUNCTION("""COMPUTED_VALUE"""),0.0)</f>
        <v>0</v>
      </c>
      <c r="E7" s="3">
        <f>IFERROR(__xludf.DUMMYFUNCTION("""COMPUTED_VALUE"""),0.0)</f>
        <v>0</v>
      </c>
      <c r="F7" s="3">
        <f>IFERROR(__xludf.DUMMYFUNCTION("""COMPUTED_VALUE"""),0.0)</f>
        <v>0</v>
      </c>
      <c r="G7" s="3">
        <f>IFERROR(__xludf.DUMMYFUNCTION("""COMPUTED_VALUE"""),0.0)</f>
        <v>0</v>
      </c>
      <c r="H7" s="3">
        <f>IFERROR(__xludf.DUMMYFUNCTION("""COMPUTED_VALUE"""),0.0)</f>
        <v>0</v>
      </c>
      <c r="I7" s="3">
        <f>IFERROR(__xludf.DUMMYFUNCTION("""COMPUTED_VALUE"""),0.0)</f>
        <v>0</v>
      </c>
      <c r="J7" s="3">
        <f>IFERROR(__xludf.DUMMYFUNCTION("""COMPUTED_VALUE"""),0.0)</f>
        <v>0</v>
      </c>
      <c r="K7" s="3">
        <f>IFERROR(__xludf.DUMMYFUNCTION("""COMPUTED_VALUE"""),0.0)</f>
        <v>0</v>
      </c>
      <c r="L7" s="3">
        <f>IFERROR(__xludf.DUMMYFUNCTION("""COMPUTED_VALUE"""),0.0)</f>
        <v>0</v>
      </c>
      <c r="M7" s="3">
        <f>IFERROR(__xludf.DUMMYFUNCTION("""COMPUTED_VALUE"""),0.0)</f>
        <v>0</v>
      </c>
      <c r="N7" s="3">
        <f>IFERROR(__xludf.DUMMYFUNCTION("""COMPUTED_VALUE"""),0.0)</f>
        <v>0</v>
      </c>
      <c r="O7" s="3">
        <f>IFERROR(__xludf.DUMMYFUNCTION("""COMPUTED_VALUE"""),0.0)</f>
        <v>0</v>
      </c>
      <c r="P7" s="3">
        <f>IFERROR(__xludf.DUMMYFUNCTION("""COMPUTED_VALUE"""),0.0)</f>
        <v>0</v>
      </c>
      <c r="Q7" s="3">
        <f>IFERROR(__xludf.DUMMYFUNCTION("""COMPUTED_VALUE"""),0.0)</f>
        <v>0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</row>
    <row r="8">
      <c r="A8" s="2" t="str">
        <f>IFERROR(__xludf.DUMMYFUNCTION("""COMPUTED_VALUE"""),"22241111")</f>
        <v>22241111</v>
      </c>
      <c r="B8" s="3">
        <f>IFERROR(__xludf.DUMMYFUNCTION("""COMPUTED_VALUE"""),0.0)</f>
        <v>0</v>
      </c>
      <c r="C8" s="3">
        <f>IFERROR(__xludf.DUMMYFUNCTION("""COMPUTED_VALUE"""),0.0)</f>
        <v>0</v>
      </c>
      <c r="D8" s="3">
        <f>IFERROR(__xludf.DUMMYFUNCTION("""COMPUTED_VALUE"""),0.0)</f>
        <v>0</v>
      </c>
      <c r="E8" s="3">
        <f>IFERROR(__xludf.DUMMYFUNCTION("""COMPUTED_VALUE"""),0.0)</f>
        <v>0</v>
      </c>
      <c r="F8" s="3">
        <f>IFERROR(__xludf.DUMMYFUNCTION("""COMPUTED_VALUE"""),0.0)</f>
        <v>0</v>
      </c>
      <c r="G8" s="3">
        <f>IFERROR(__xludf.DUMMYFUNCTION("""COMPUTED_VALUE"""),0.0)</f>
        <v>0</v>
      </c>
      <c r="H8" s="3">
        <f>IFERROR(__xludf.DUMMYFUNCTION("""COMPUTED_VALUE"""),0.0)</f>
        <v>0</v>
      </c>
      <c r="I8" s="3">
        <f>IFERROR(__xludf.DUMMYFUNCTION("""COMPUTED_VALUE"""),0.0)</f>
        <v>0</v>
      </c>
      <c r="J8" s="3">
        <f>IFERROR(__xludf.DUMMYFUNCTION("""COMPUTED_VALUE"""),0.0)</f>
        <v>0</v>
      </c>
      <c r="K8" s="3">
        <f>IFERROR(__xludf.DUMMYFUNCTION("""COMPUTED_VALUE"""),0.0)</f>
        <v>0</v>
      </c>
      <c r="L8" s="3">
        <f>IFERROR(__xludf.DUMMYFUNCTION("""COMPUTED_VALUE"""),0.0)</f>
        <v>0</v>
      </c>
      <c r="M8" s="3">
        <f>IFERROR(__xludf.DUMMYFUNCTION("""COMPUTED_VALUE"""),0.0)</f>
        <v>0</v>
      </c>
      <c r="N8" s="3">
        <f>IFERROR(__xludf.DUMMYFUNCTION("""COMPUTED_VALUE"""),0.0)</f>
        <v>0</v>
      </c>
      <c r="O8" s="3">
        <f>IFERROR(__xludf.DUMMYFUNCTION("""COMPUTED_VALUE"""),0.0)</f>
        <v>0</v>
      </c>
      <c r="P8" s="3">
        <f>IFERROR(__xludf.DUMMYFUNCTION("""COMPUTED_VALUE"""),0.0)</f>
        <v>0</v>
      </c>
      <c r="Q8" s="3">
        <f>IFERROR(__xludf.DUMMYFUNCTION("""COMPUTED_VALUE"""),0.0)</f>
        <v>0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</row>
    <row r="9">
      <c r="A9" s="2" t="str">
        <f>IFERROR(__xludf.DUMMYFUNCTION("""COMPUTED_VALUE"""),"22299106")</f>
        <v>22299106</v>
      </c>
      <c r="B9" s="3">
        <f>IFERROR(__xludf.DUMMYFUNCTION("""COMPUTED_VALUE"""),3.2075471698113205)</f>
        <v>3.20754717</v>
      </c>
      <c r="C9" s="3">
        <f>IFERROR(__xludf.DUMMYFUNCTION("""COMPUTED_VALUE"""),0.0)</f>
        <v>0</v>
      </c>
      <c r="D9" s="3">
        <f>IFERROR(__xludf.DUMMYFUNCTION("""COMPUTED_VALUE"""),3.2075471698113205)</f>
        <v>3.20754717</v>
      </c>
      <c r="E9" s="3">
        <f>IFERROR(__xludf.DUMMYFUNCTION("""COMPUTED_VALUE"""),0.0)</f>
        <v>0</v>
      </c>
      <c r="F9" s="3">
        <f>IFERROR(__xludf.DUMMYFUNCTION("""COMPUTED_VALUE"""),0.0)</f>
        <v>0</v>
      </c>
      <c r="G9" s="3">
        <f>IFERROR(__xludf.DUMMYFUNCTION("""COMPUTED_VALUE"""),0.0)</f>
        <v>0</v>
      </c>
      <c r="H9" s="3">
        <f>IFERROR(__xludf.DUMMYFUNCTION("""COMPUTED_VALUE"""),0.0)</f>
        <v>0</v>
      </c>
      <c r="I9" s="3">
        <f>IFERROR(__xludf.DUMMYFUNCTION("""COMPUTED_VALUE"""),0.0)</f>
        <v>0</v>
      </c>
      <c r="J9" s="3">
        <f>IFERROR(__xludf.DUMMYFUNCTION("""COMPUTED_VALUE"""),6.0)</f>
        <v>6</v>
      </c>
      <c r="K9" s="3">
        <f>IFERROR(__xludf.DUMMYFUNCTION("""COMPUTED_VALUE"""),8.0)</f>
        <v>8</v>
      </c>
      <c r="L9" s="3">
        <f>IFERROR(__xludf.DUMMYFUNCTION("""COMPUTED_VALUE"""),0.0)</f>
        <v>0</v>
      </c>
      <c r="M9" s="3">
        <f>IFERROR(__xludf.DUMMYFUNCTION("""COMPUTED_VALUE"""),8.0)</f>
        <v>8</v>
      </c>
      <c r="N9" s="3">
        <f>IFERROR(__xludf.DUMMYFUNCTION("""COMPUTED_VALUE"""),0.0)</f>
        <v>0</v>
      </c>
      <c r="O9" s="3">
        <f>IFERROR(__xludf.DUMMYFUNCTION("""COMPUTED_VALUE"""),8.0)</f>
        <v>8</v>
      </c>
      <c r="P9" s="3">
        <f>IFERROR(__xludf.DUMMYFUNCTION("""COMPUTED_VALUE"""),0.0)</f>
        <v>0</v>
      </c>
      <c r="Q9" s="3">
        <f>IFERROR(__xludf.DUMMYFUNCTION("""COMPUTED_VALUE"""),4.0)</f>
        <v>4</v>
      </c>
      <c r="R9" s="3">
        <f>IFERROR(__xludf.DUMMYFUNCTION("""COMPUTED_VALUE"""),0.0)</f>
        <v>0</v>
      </c>
      <c r="S9" s="3">
        <f>IFERROR(__xludf.DUMMYFUNCTION("""COMPUTED_VALUE"""),0.0)</f>
        <v>0</v>
      </c>
      <c r="T9" s="3"/>
      <c r="U9" s="3"/>
      <c r="V9" s="3"/>
      <c r="W9" s="3"/>
      <c r="X9" s="3"/>
      <c r="Y9" s="3">
        <f>IFERROR(__xludf.DUMMYFUNCTION("""COMPUTED_VALUE"""),0.0)</f>
        <v>0</v>
      </c>
      <c r="Z9" s="3"/>
      <c r="AA9" s="3">
        <f>IFERROR(__xludf.DUMMYFUNCTION("""COMPUTED_VALUE"""),0.0)</f>
        <v>0</v>
      </c>
      <c r="AB9" s="3"/>
      <c r="AC9" s="3"/>
      <c r="AD9" s="3">
        <f>IFERROR(__xludf.DUMMYFUNCTION("""COMPUTED_VALUE"""),0.0)</f>
        <v>0</v>
      </c>
      <c r="AE9" s="3"/>
      <c r="AF9" s="3"/>
      <c r="AG9" s="3">
        <f>IFERROR(__xludf.DUMMYFUNCTION("""COMPUTED_VALUE"""),0.0)</f>
        <v>0</v>
      </c>
      <c r="AH9" s="3"/>
      <c r="AI9" s="3"/>
      <c r="AJ9" s="3"/>
      <c r="AK9" s="3"/>
      <c r="AL9" s="3"/>
      <c r="AM9" s="3">
        <f>IFERROR(__xludf.DUMMYFUNCTION("""COMPUTED_VALUE"""),0.0)</f>
        <v>0</v>
      </c>
      <c r="AN9" s="3"/>
      <c r="AO9" s="3">
        <f>IFERROR(__xludf.DUMMYFUNCTION("""COMPUTED_VALUE"""),0.0)</f>
        <v>0</v>
      </c>
      <c r="AP9" s="3"/>
      <c r="AQ9" s="3">
        <f>IFERROR(__xludf.DUMMYFUNCTION("""COMPUTED_VALUE"""),0.0)</f>
        <v>0</v>
      </c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</row>
    <row r="10">
      <c r="A10" s="2" t="str">
        <f>IFERROR(__xludf.DUMMYFUNCTION("""COMPUTED_VALUE"""),"22301655")</f>
        <v>22301655</v>
      </c>
      <c r="B10" s="3">
        <f>IFERROR(__xludf.DUMMYFUNCTION("""COMPUTED_VALUE"""),0.0)</f>
        <v>0</v>
      </c>
      <c r="C10" s="3">
        <f>IFERROR(__xludf.DUMMYFUNCTION("""COMPUTED_VALUE"""),0.0)</f>
        <v>0</v>
      </c>
      <c r="D10" s="3">
        <f>IFERROR(__xludf.DUMMYFUNCTION("""COMPUTED_VALUE"""),0.0)</f>
        <v>0</v>
      </c>
      <c r="E10" s="3">
        <f>IFERROR(__xludf.DUMMYFUNCTION("""COMPUTED_VALUE"""),0.0)</f>
        <v>0</v>
      </c>
      <c r="F10" s="3">
        <f>IFERROR(__xludf.DUMMYFUNCTION("""COMPUTED_VALUE"""),0.0)</f>
        <v>0</v>
      </c>
      <c r="G10" s="3">
        <f>IFERROR(__xludf.DUMMYFUNCTION("""COMPUTED_VALUE"""),0.0)</f>
        <v>0</v>
      </c>
      <c r="H10" s="3">
        <f>IFERROR(__xludf.DUMMYFUNCTION("""COMPUTED_VALUE"""),0.0)</f>
        <v>0</v>
      </c>
      <c r="I10" s="3">
        <f>IFERROR(__xludf.DUMMYFUNCTION("""COMPUTED_VALUE"""),0.0)</f>
        <v>0</v>
      </c>
      <c r="J10" s="3"/>
      <c r="K10" s="3"/>
      <c r="L10" s="3"/>
      <c r="M10" s="3"/>
      <c r="N10" s="3"/>
      <c r="O10" s="3"/>
      <c r="P10" s="3"/>
      <c r="Q10" s="3"/>
      <c r="R10" s="3">
        <f>IFERROR(__xludf.DUMMYFUNCTION("""COMPUTED_VALUE"""),0.0)</f>
        <v>0</v>
      </c>
      <c r="S10" s="3">
        <f>IFERROR(__xludf.DUMMYFUNCTION("""COMPUTED_VALUE"""),0.0)</f>
        <v>0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</row>
    <row r="11">
      <c r="A11" s="2" t="str">
        <f>IFERROR(__xludf.DUMMYFUNCTION("""COMPUTED_VALUE"""),"23101055")</f>
        <v>23101055</v>
      </c>
      <c r="B11" s="3">
        <f>IFERROR(__xludf.DUMMYFUNCTION("""COMPUTED_VALUE"""),4.716981132075472)</f>
        <v>4.716981132</v>
      </c>
      <c r="C11" s="3">
        <f>IFERROR(__xludf.DUMMYFUNCTION("""COMPUTED_VALUE"""),0.0)</f>
        <v>0</v>
      </c>
      <c r="D11" s="3">
        <f>IFERROR(__xludf.DUMMYFUNCTION("""COMPUTED_VALUE"""),4.716981132075472)</f>
        <v>4.716981132</v>
      </c>
      <c r="E11" s="3">
        <f>IFERROR(__xludf.DUMMYFUNCTION("""COMPUTED_VALUE"""),0.0)</f>
        <v>0</v>
      </c>
      <c r="F11" s="3">
        <f>IFERROR(__xludf.DUMMYFUNCTION("""COMPUTED_VALUE"""),0.0)</f>
        <v>0</v>
      </c>
      <c r="G11" s="3">
        <f>IFERROR(__xludf.DUMMYFUNCTION("""COMPUTED_VALUE"""),0.0)</f>
        <v>0</v>
      </c>
      <c r="H11" s="3">
        <f>IFERROR(__xludf.DUMMYFUNCTION("""COMPUTED_VALUE"""),0.0)</f>
        <v>0</v>
      </c>
      <c r="I11" s="3">
        <f>IFERROR(__xludf.DUMMYFUNCTION("""COMPUTED_VALUE"""),0.0)</f>
        <v>0</v>
      </c>
      <c r="J11" s="3">
        <f>IFERROR(__xludf.DUMMYFUNCTION("""COMPUTED_VALUE"""),8.0)</f>
        <v>8</v>
      </c>
      <c r="K11" s="3">
        <f>IFERROR(__xludf.DUMMYFUNCTION("""COMPUTED_VALUE"""),8.0)</f>
        <v>8</v>
      </c>
      <c r="L11" s="3">
        <f>IFERROR(__xludf.DUMMYFUNCTION("""COMPUTED_VALUE"""),8.0)</f>
        <v>8</v>
      </c>
      <c r="M11" s="3">
        <f>IFERROR(__xludf.DUMMYFUNCTION("""COMPUTED_VALUE"""),8.0)</f>
        <v>8</v>
      </c>
      <c r="N11" s="3">
        <f>IFERROR(__xludf.DUMMYFUNCTION("""COMPUTED_VALUE"""),0.0)</f>
        <v>0</v>
      </c>
      <c r="O11" s="3">
        <f>IFERROR(__xludf.DUMMYFUNCTION("""COMPUTED_VALUE"""),8.0)</f>
        <v>8</v>
      </c>
      <c r="P11" s="3">
        <f>IFERROR(__xludf.DUMMYFUNCTION("""COMPUTED_VALUE"""),6.0)</f>
        <v>6</v>
      </c>
      <c r="Q11" s="3">
        <f>IFERROR(__xludf.DUMMYFUNCTION("""COMPUTED_VALUE"""),4.0)</f>
        <v>4</v>
      </c>
      <c r="R11" s="3">
        <f>IFERROR(__xludf.DUMMYFUNCTION("""COMPUTED_VALUE"""),0.0)</f>
        <v>0</v>
      </c>
      <c r="S11" s="3">
        <f>IFERROR(__xludf.DUMMYFUNCTION("""COMPUTED_VALUE"""),0.0)</f>
        <v>0</v>
      </c>
      <c r="T11" s="3"/>
      <c r="U11" s="3"/>
      <c r="V11" s="3"/>
      <c r="W11" s="3"/>
      <c r="X11" s="3"/>
      <c r="Y11" s="3">
        <f>IFERROR(__xludf.DUMMYFUNCTION("""COMPUTED_VALUE"""),0.0)</f>
        <v>0</v>
      </c>
      <c r="Z11" s="3"/>
      <c r="AA11" s="3">
        <f>IFERROR(__xludf.DUMMYFUNCTION("""COMPUTED_VALUE"""),0.0)</f>
        <v>0</v>
      </c>
      <c r="AB11" s="3"/>
      <c r="AC11" s="3"/>
      <c r="AD11" s="3"/>
      <c r="AE11" s="3"/>
      <c r="AF11" s="3"/>
      <c r="AG11" s="3">
        <f>IFERROR(__xludf.DUMMYFUNCTION("""COMPUTED_VALUE"""),0.0)</f>
        <v>0</v>
      </c>
      <c r="AH11" s="3"/>
      <c r="AI11" s="3"/>
      <c r="AJ11" s="3"/>
      <c r="AK11" s="3"/>
      <c r="AL11" s="3"/>
      <c r="AM11" s="3">
        <f>IFERROR(__xludf.DUMMYFUNCTION("""COMPUTED_VALUE"""),0.0)</f>
        <v>0</v>
      </c>
      <c r="AN11" s="3"/>
      <c r="AO11" s="3">
        <f>IFERROR(__xludf.DUMMYFUNCTION("""COMPUTED_VALUE"""),0.0)</f>
        <v>0</v>
      </c>
      <c r="AP11" s="3"/>
      <c r="AQ11" s="3">
        <f>IFERROR(__xludf.DUMMYFUNCTION("""COMPUTED_VALUE"""),0.0)</f>
        <v>0</v>
      </c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</row>
    <row r="12">
      <c r="A12" s="2" t="str">
        <f>IFERROR(__xludf.DUMMYFUNCTION("""COMPUTED_VALUE"""),"23101450")</f>
        <v>23101450</v>
      </c>
      <c r="B12" s="3">
        <f>IFERROR(__xludf.DUMMYFUNCTION("""COMPUTED_VALUE"""),3.0188679245283017)</f>
        <v>3.018867925</v>
      </c>
      <c r="C12" s="3">
        <f>IFERROR(__xludf.DUMMYFUNCTION("""COMPUTED_VALUE"""),0.0)</f>
        <v>0</v>
      </c>
      <c r="D12" s="3">
        <f>IFERROR(__xludf.DUMMYFUNCTION("""COMPUTED_VALUE"""),3.0188679245283017)</f>
        <v>3.018867925</v>
      </c>
      <c r="E12" s="3">
        <f>IFERROR(__xludf.DUMMYFUNCTION("""COMPUTED_VALUE"""),0.0)</f>
        <v>0</v>
      </c>
      <c r="F12" s="3">
        <f>IFERROR(__xludf.DUMMYFUNCTION("""COMPUTED_VALUE"""),0.0)</f>
        <v>0</v>
      </c>
      <c r="G12" s="3">
        <f>IFERROR(__xludf.DUMMYFUNCTION("""COMPUTED_VALUE"""),0.0)</f>
        <v>0</v>
      </c>
      <c r="H12" s="3">
        <f>IFERROR(__xludf.DUMMYFUNCTION("""COMPUTED_VALUE"""),0.0)</f>
        <v>0</v>
      </c>
      <c r="I12" s="3">
        <f>IFERROR(__xludf.DUMMYFUNCTION("""COMPUTED_VALUE"""),0.0)</f>
        <v>0</v>
      </c>
      <c r="J12" s="3">
        <f>IFERROR(__xludf.DUMMYFUNCTION("""COMPUTED_VALUE"""),8.0)</f>
        <v>8</v>
      </c>
      <c r="K12" s="3">
        <f>IFERROR(__xludf.DUMMYFUNCTION("""COMPUTED_VALUE"""),2.0)</f>
        <v>2</v>
      </c>
      <c r="L12" s="3">
        <f>IFERROR(__xludf.DUMMYFUNCTION("""COMPUTED_VALUE"""),8.0)</f>
        <v>8</v>
      </c>
      <c r="M12" s="3">
        <f>IFERROR(__xludf.DUMMYFUNCTION("""COMPUTED_VALUE"""),0.0)</f>
        <v>0</v>
      </c>
      <c r="N12" s="3">
        <f>IFERROR(__xludf.DUMMYFUNCTION("""COMPUTED_VALUE"""),8.0)</f>
        <v>8</v>
      </c>
      <c r="O12" s="3">
        <f>IFERROR(__xludf.DUMMYFUNCTION("""COMPUTED_VALUE"""),0.0)</f>
        <v>0</v>
      </c>
      <c r="P12" s="3">
        <f>IFERROR(__xludf.DUMMYFUNCTION("""COMPUTED_VALUE"""),6.0)</f>
        <v>6</v>
      </c>
      <c r="Q12" s="3">
        <f>IFERROR(__xludf.DUMMYFUNCTION("""COMPUTED_VALUE"""),0.0)</f>
        <v>0</v>
      </c>
      <c r="R12" s="3"/>
      <c r="S12" s="3"/>
      <c r="T12" s="3"/>
      <c r="U12" s="3"/>
      <c r="V12" s="3"/>
      <c r="W12" s="3"/>
      <c r="X12" s="3"/>
      <c r="Y12" s="3">
        <f>IFERROR(__xludf.DUMMYFUNCTION("""COMPUTED_VALUE"""),0.0)</f>
        <v>0</v>
      </c>
      <c r="Z12" s="3"/>
      <c r="AA12" s="3">
        <f>IFERROR(__xludf.DUMMYFUNCTION("""COMPUTED_VALUE"""),0.0)</f>
        <v>0</v>
      </c>
      <c r="AB12" s="3"/>
      <c r="AC12" s="3"/>
      <c r="AD12" s="3">
        <f>IFERROR(__xludf.DUMMYFUNCTION("""COMPUTED_VALUE"""),0.0)</f>
        <v>0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>
        <f>IFERROR(__xludf.DUMMYFUNCTION("""COMPUTED_VALUE"""),0.0)</f>
        <v>0</v>
      </c>
      <c r="AP12" s="3"/>
      <c r="AQ12" s="3">
        <f>IFERROR(__xludf.DUMMYFUNCTION("""COMPUTED_VALUE"""),0.0)</f>
        <v>0</v>
      </c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</row>
    <row r="13">
      <c r="A13" s="2" t="str">
        <f>IFERROR(__xludf.DUMMYFUNCTION("""COMPUTED_VALUE"""),"23201018")</f>
        <v>23201018</v>
      </c>
      <c r="B13" s="3">
        <f>IFERROR(__xludf.DUMMYFUNCTION("""COMPUTED_VALUE"""),22.71698113207547)</f>
        <v>22.71698113</v>
      </c>
      <c r="C13" s="3">
        <f>IFERROR(__xludf.DUMMYFUNCTION("""COMPUTED_VALUE"""),18.0)</f>
        <v>18</v>
      </c>
      <c r="D13" s="3">
        <f>IFERROR(__xludf.DUMMYFUNCTION("""COMPUTED_VALUE"""),4.716981132075472)</f>
        <v>4.716981132</v>
      </c>
      <c r="E13" s="3">
        <f>IFERROR(__xludf.DUMMYFUNCTION("""COMPUTED_VALUE"""),20.0)</f>
        <v>20</v>
      </c>
      <c r="F13" s="3">
        <f>IFERROR(__xludf.DUMMYFUNCTION("""COMPUTED_VALUE"""),14.0)</f>
        <v>14</v>
      </c>
      <c r="G13" s="3">
        <f>IFERROR(__xludf.DUMMYFUNCTION("""COMPUTED_VALUE"""),20.0)</f>
        <v>20</v>
      </c>
      <c r="H13" s="3">
        <f>IFERROR(__xludf.DUMMYFUNCTION("""COMPUTED_VALUE"""),0.0)</f>
        <v>0</v>
      </c>
      <c r="I13" s="3">
        <f>IFERROR(__xludf.DUMMYFUNCTION("""COMPUTED_VALUE"""),12.0)</f>
        <v>12</v>
      </c>
      <c r="J13" s="3">
        <f>IFERROR(__xludf.DUMMYFUNCTION("""COMPUTED_VALUE"""),7.0)</f>
        <v>7</v>
      </c>
      <c r="K13" s="3">
        <f>IFERROR(__xludf.DUMMYFUNCTION("""COMPUTED_VALUE"""),7.0)</f>
        <v>7</v>
      </c>
      <c r="L13" s="3">
        <f>IFERROR(__xludf.DUMMYFUNCTION("""COMPUTED_VALUE"""),8.0)</f>
        <v>8</v>
      </c>
      <c r="M13" s="3">
        <f>IFERROR(__xludf.DUMMYFUNCTION("""COMPUTED_VALUE"""),8.0)</f>
        <v>8</v>
      </c>
      <c r="N13" s="3">
        <f>IFERROR(__xludf.DUMMYFUNCTION("""COMPUTED_VALUE"""),8.0)</f>
        <v>8</v>
      </c>
      <c r="O13" s="3">
        <f>IFERROR(__xludf.DUMMYFUNCTION("""COMPUTED_VALUE"""),6.0)</f>
        <v>6</v>
      </c>
      <c r="P13" s="3">
        <f>IFERROR(__xludf.DUMMYFUNCTION("""COMPUTED_VALUE"""),6.0)</f>
        <v>6</v>
      </c>
      <c r="Q13" s="3">
        <f>IFERROR(__xludf.DUMMYFUNCTION("""COMPUTED_VALUE"""),0.0)</f>
        <v>0</v>
      </c>
      <c r="R13" s="3">
        <f>IFERROR(__xludf.DUMMYFUNCTION("""COMPUTED_VALUE"""),1.0)</f>
        <v>1</v>
      </c>
      <c r="S13" s="3">
        <f>IFERROR(__xludf.DUMMYFUNCTION("""COMPUTED_VALUE"""),1.0)</f>
        <v>1</v>
      </c>
      <c r="T13" s="3"/>
      <c r="U13" s="3"/>
      <c r="V13" s="3"/>
      <c r="W13" s="3"/>
      <c r="X13" s="3"/>
      <c r="Y13" s="3">
        <f>IFERROR(__xludf.DUMMYFUNCTION("""COMPUTED_VALUE"""),0.4)</f>
        <v>0.4</v>
      </c>
      <c r="Z13" s="3"/>
      <c r="AA13" s="3">
        <f>IFERROR(__xludf.DUMMYFUNCTION("""COMPUTED_VALUE"""),1.0)</f>
        <v>1</v>
      </c>
      <c r="AB13" s="3"/>
      <c r="AC13" s="3"/>
      <c r="AD13" s="3">
        <f>IFERROR(__xludf.DUMMYFUNCTION("""COMPUTED_VALUE"""),1.0)</f>
        <v>1</v>
      </c>
      <c r="AE13" s="3"/>
      <c r="AF13" s="3"/>
      <c r="AG13" s="3">
        <f>IFERROR(__xludf.DUMMYFUNCTION("""COMPUTED_VALUE"""),0.0)</f>
        <v>0</v>
      </c>
      <c r="AH13" s="3"/>
      <c r="AI13" s="3"/>
      <c r="AJ13" s="3"/>
      <c r="AK13" s="3"/>
      <c r="AL13" s="3"/>
      <c r="AM13" s="3">
        <f>IFERROR(__xludf.DUMMYFUNCTION("""COMPUTED_VALUE"""),0.0)</f>
        <v>0</v>
      </c>
      <c r="AN13" s="3"/>
      <c r="AO13" s="3">
        <f>IFERROR(__xludf.DUMMYFUNCTION("""COMPUTED_VALUE"""),1.0)</f>
        <v>1</v>
      </c>
      <c r="AP13" s="3"/>
      <c r="AQ13" s="3">
        <f>IFERROR(__xludf.DUMMYFUNCTION("""COMPUTED_VALUE"""),0.2)</f>
        <v>0.2</v>
      </c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</row>
    <row r="14">
      <c r="A14" s="2" t="str">
        <f>IFERROR(__xludf.DUMMYFUNCTION("""COMPUTED_VALUE"""),"23201059")</f>
        <v>23201059</v>
      </c>
      <c r="B14" s="3">
        <f>IFERROR(__xludf.DUMMYFUNCTION("""COMPUTED_VALUE"""),1.4150943396226414)</f>
        <v>1.41509434</v>
      </c>
      <c r="C14" s="3">
        <f>IFERROR(__xludf.DUMMYFUNCTION("""COMPUTED_VALUE"""),0.0)</f>
        <v>0</v>
      </c>
      <c r="D14" s="3">
        <f>IFERROR(__xludf.DUMMYFUNCTION("""COMPUTED_VALUE"""),1.4150943396226414)</f>
        <v>1.41509434</v>
      </c>
      <c r="E14" s="3">
        <f>IFERROR(__xludf.DUMMYFUNCTION("""COMPUTED_VALUE"""),0.0)</f>
        <v>0</v>
      </c>
      <c r="F14" s="3">
        <f>IFERROR(__xludf.DUMMYFUNCTION("""COMPUTED_VALUE"""),0.0)</f>
        <v>0</v>
      </c>
      <c r="G14" s="3">
        <f>IFERROR(__xludf.DUMMYFUNCTION("""COMPUTED_VALUE"""),0.0)</f>
        <v>0</v>
      </c>
      <c r="H14" s="3">
        <f>IFERROR(__xludf.DUMMYFUNCTION("""COMPUTED_VALUE"""),0.0)</f>
        <v>0</v>
      </c>
      <c r="I14" s="3">
        <f>IFERROR(__xludf.DUMMYFUNCTION("""COMPUTED_VALUE"""),0.0)</f>
        <v>0</v>
      </c>
      <c r="J14" s="3">
        <f>IFERROR(__xludf.DUMMYFUNCTION("""COMPUTED_VALUE"""),3.0)</f>
        <v>3</v>
      </c>
      <c r="K14" s="3">
        <f>IFERROR(__xludf.DUMMYFUNCTION("""COMPUTED_VALUE"""),5.0)</f>
        <v>5</v>
      </c>
      <c r="L14" s="3">
        <f>IFERROR(__xludf.DUMMYFUNCTION("""COMPUTED_VALUE"""),0.0)</f>
        <v>0</v>
      </c>
      <c r="M14" s="3">
        <f>IFERROR(__xludf.DUMMYFUNCTION("""COMPUTED_VALUE"""),0.0)</f>
        <v>0</v>
      </c>
      <c r="N14" s="3">
        <f>IFERROR(__xludf.DUMMYFUNCTION("""COMPUTED_VALUE"""),3.0)</f>
        <v>3</v>
      </c>
      <c r="O14" s="3">
        <f>IFERROR(__xludf.DUMMYFUNCTION("""COMPUTED_VALUE"""),1.0)</f>
        <v>1</v>
      </c>
      <c r="P14" s="3">
        <f>IFERROR(__xludf.DUMMYFUNCTION("""COMPUTED_VALUE"""),3.0)</f>
        <v>3</v>
      </c>
      <c r="Q14" s="3">
        <f>IFERROR(__xludf.DUMMYFUNCTION("""COMPUTED_VALUE"""),0.0)</f>
        <v>0</v>
      </c>
      <c r="R14" s="3"/>
      <c r="S14" s="3"/>
      <c r="T14" s="3"/>
      <c r="U14" s="3"/>
      <c r="V14" s="3"/>
      <c r="W14" s="3"/>
      <c r="X14" s="3"/>
      <c r="Y14" s="3">
        <f>IFERROR(__xludf.DUMMYFUNCTION("""COMPUTED_VALUE"""),0.0)</f>
        <v>0</v>
      </c>
      <c r="Z14" s="3"/>
      <c r="AA14" s="3">
        <f>IFERROR(__xludf.DUMMYFUNCTION("""COMPUTED_VALUE"""),0.0)</f>
        <v>0</v>
      </c>
      <c r="AB14" s="3"/>
      <c r="AC14" s="3"/>
      <c r="AD14" s="3">
        <f>IFERROR(__xludf.DUMMYFUNCTION("""COMPUTED_VALUE"""),0.0)</f>
        <v>0</v>
      </c>
      <c r="AE14" s="3"/>
      <c r="AF14" s="3"/>
      <c r="AG14" s="3">
        <f>IFERROR(__xludf.DUMMYFUNCTION("""COMPUTED_VALUE"""),0.0)</f>
        <v>0</v>
      </c>
      <c r="AH14" s="3"/>
      <c r="AI14" s="3"/>
      <c r="AJ14" s="3"/>
      <c r="AK14" s="3"/>
      <c r="AL14" s="3"/>
      <c r="AM14" s="3">
        <f>IFERROR(__xludf.DUMMYFUNCTION("""COMPUTED_VALUE"""),0.0)</f>
        <v>0</v>
      </c>
      <c r="AN14" s="3"/>
      <c r="AO14" s="3">
        <f>IFERROR(__xludf.DUMMYFUNCTION("""COMPUTED_VALUE"""),0.0)</f>
        <v>0</v>
      </c>
      <c r="AP14" s="3"/>
      <c r="AQ14" s="3">
        <f>IFERROR(__xludf.DUMMYFUNCTION("""COMPUTED_VALUE"""),0.0)</f>
        <v>0</v>
      </c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</row>
    <row r="15">
      <c r="A15" s="2" t="str">
        <f>IFERROR(__xludf.DUMMYFUNCTION("""COMPUTED_VALUE"""),"23201161")</f>
        <v>23201161</v>
      </c>
      <c r="B15" s="3">
        <f>IFERROR(__xludf.DUMMYFUNCTION("""COMPUTED_VALUE"""),3.30188679245283)</f>
        <v>3.301886792</v>
      </c>
      <c r="C15" s="3">
        <f>IFERROR(__xludf.DUMMYFUNCTION("""COMPUTED_VALUE"""),0.0)</f>
        <v>0</v>
      </c>
      <c r="D15" s="3">
        <f>IFERROR(__xludf.DUMMYFUNCTION("""COMPUTED_VALUE"""),3.30188679245283)</f>
        <v>3.301886792</v>
      </c>
      <c r="E15" s="3">
        <f>IFERROR(__xludf.DUMMYFUNCTION("""COMPUTED_VALUE"""),0.0)</f>
        <v>0</v>
      </c>
      <c r="F15" s="3">
        <f>IFERROR(__xludf.DUMMYFUNCTION("""COMPUTED_VALUE"""),0.0)</f>
        <v>0</v>
      </c>
      <c r="G15" s="3">
        <f>IFERROR(__xludf.DUMMYFUNCTION("""COMPUTED_VALUE"""),0.0)</f>
        <v>0</v>
      </c>
      <c r="H15" s="3">
        <f>IFERROR(__xludf.DUMMYFUNCTION("""COMPUTED_VALUE"""),0.0)</f>
        <v>0</v>
      </c>
      <c r="I15" s="3">
        <f>IFERROR(__xludf.DUMMYFUNCTION("""COMPUTED_VALUE"""),0.0)</f>
        <v>0</v>
      </c>
      <c r="J15" s="3">
        <f>IFERROR(__xludf.DUMMYFUNCTION("""COMPUTED_VALUE"""),4.0)</f>
        <v>4</v>
      </c>
      <c r="K15" s="3">
        <f>IFERROR(__xludf.DUMMYFUNCTION("""COMPUTED_VALUE"""),7.0)</f>
        <v>7</v>
      </c>
      <c r="L15" s="3">
        <f>IFERROR(__xludf.DUMMYFUNCTION("""COMPUTED_VALUE"""),0.0)</f>
        <v>0</v>
      </c>
      <c r="M15" s="3">
        <f>IFERROR(__xludf.DUMMYFUNCTION("""COMPUTED_VALUE"""),4.0)</f>
        <v>4</v>
      </c>
      <c r="N15" s="3">
        <f>IFERROR(__xludf.DUMMYFUNCTION("""COMPUTED_VALUE"""),6.0)</f>
        <v>6</v>
      </c>
      <c r="O15" s="3">
        <f>IFERROR(__xludf.DUMMYFUNCTION("""COMPUTED_VALUE"""),5.0)</f>
        <v>5</v>
      </c>
      <c r="P15" s="3">
        <f>IFERROR(__xludf.DUMMYFUNCTION("""COMPUTED_VALUE"""),6.0)</f>
        <v>6</v>
      </c>
      <c r="Q15" s="3">
        <f>IFERROR(__xludf.DUMMYFUNCTION("""COMPUTED_VALUE"""),3.0)</f>
        <v>3</v>
      </c>
      <c r="R15" s="3">
        <f>IFERROR(__xludf.DUMMYFUNCTION("""COMPUTED_VALUE"""),0.0)</f>
        <v>0</v>
      </c>
      <c r="S15" s="3">
        <f>IFERROR(__xludf.DUMMYFUNCTION("""COMPUTED_VALUE"""),0.0)</f>
        <v>0</v>
      </c>
      <c r="T15" s="3"/>
      <c r="U15" s="3"/>
      <c r="V15" s="3"/>
      <c r="W15" s="3"/>
      <c r="X15" s="3"/>
      <c r="Y15" s="3">
        <f>IFERROR(__xludf.DUMMYFUNCTION("""COMPUTED_VALUE"""),0.0)</f>
        <v>0</v>
      </c>
      <c r="Z15" s="3"/>
      <c r="AA15" s="3">
        <f>IFERROR(__xludf.DUMMYFUNCTION("""COMPUTED_VALUE"""),0.0)</f>
        <v>0</v>
      </c>
      <c r="AB15" s="3"/>
      <c r="AC15" s="3"/>
      <c r="AD15" s="3">
        <f>IFERROR(__xludf.DUMMYFUNCTION("""COMPUTED_VALUE"""),0.0)</f>
        <v>0</v>
      </c>
      <c r="AE15" s="3"/>
      <c r="AF15" s="3"/>
      <c r="AG15" s="3">
        <f>IFERROR(__xludf.DUMMYFUNCTION("""COMPUTED_VALUE"""),0.0)</f>
        <v>0</v>
      </c>
      <c r="AH15" s="3"/>
      <c r="AI15" s="3"/>
      <c r="AJ15" s="3"/>
      <c r="AK15" s="3"/>
      <c r="AL15" s="3"/>
      <c r="AM15" s="3">
        <f>IFERROR(__xludf.DUMMYFUNCTION("""COMPUTED_VALUE"""),0.0)</f>
        <v>0</v>
      </c>
      <c r="AN15" s="3"/>
      <c r="AO15" s="3">
        <f>IFERROR(__xludf.DUMMYFUNCTION("""COMPUTED_VALUE"""),0.0)</f>
        <v>0</v>
      </c>
      <c r="AP15" s="3"/>
      <c r="AQ15" s="3">
        <f>IFERROR(__xludf.DUMMYFUNCTION("""COMPUTED_VALUE"""),0.0)</f>
        <v>0</v>
      </c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</row>
    <row r="16">
      <c r="A16" s="2" t="str">
        <f>IFERROR(__xludf.DUMMYFUNCTION("""COMPUTED_VALUE"""),"23201197")</f>
        <v>23201197</v>
      </c>
      <c r="B16" s="3">
        <f>IFERROR(__xludf.DUMMYFUNCTION("""COMPUTED_VALUE"""),7.911949685534591)</f>
        <v>7.911949686</v>
      </c>
      <c r="C16" s="3">
        <f>IFERROR(__xludf.DUMMYFUNCTION("""COMPUTED_VALUE"""),3.6666666666666665)</f>
        <v>3.666666667</v>
      </c>
      <c r="D16" s="3">
        <f>IFERROR(__xludf.DUMMYFUNCTION("""COMPUTED_VALUE"""),4.245283018867925)</f>
        <v>4.245283019</v>
      </c>
      <c r="E16" s="3">
        <f>IFERROR(__xludf.DUMMYFUNCTION("""COMPUTED_VALUE"""),11.0)</f>
        <v>11</v>
      </c>
      <c r="F16" s="3">
        <f>IFERROR(__xludf.DUMMYFUNCTION("""COMPUTED_VALUE"""),0.0)</f>
        <v>0</v>
      </c>
      <c r="G16" s="3">
        <f>IFERROR(__xludf.DUMMYFUNCTION("""COMPUTED_VALUE"""),0.0)</f>
        <v>0</v>
      </c>
      <c r="H16" s="3">
        <f>IFERROR(__xludf.DUMMYFUNCTION("""COMPUTED_VALUE"""),0.0)</f>
        <v>0</v>
      </c>
      <c r="I16" s="3">
        <f>IFERROR(__xludf.DUMMYFUNCTION("""COMPUTED_VALUE"""),0.0)</f>
        <v>0</v>
      </c>
      <c r="J16" s="3">
        <f>IFERROR(__xludf.DUMMYFUNCTION("""COMPUTED_VALUE"""),6.0)</f>
        <v>6</v>
      </c>
      <c r="K16" s="3">
        <f>IFERROR(__xludf.DUMMYFUNCTION("""COMPUTED_VALUE"""),8.0)</f>
        <v>8</v>
      </c>
      <c r="L16" s="3">
        <f>IFERROR(__xludf.DUMMYFUNCTION("""COMPUTED_VALUE"""),7.0)</f>
        <v>7</v>
      </c>
      <c r="M16" s="3">
        <f>IFERROR(__xludf.DUMMYFUNCTION("""COMPUTED_VALUE"""),0.0)</f>
        <v>0</v>
      </c>
      <c r="N16" s="3">
        <f>IFERROR(__xludf.DUMMYFUNCTION("""COMPUTED_VALUE"""),8.0)</f>
        <v>8</v>
      </c>
      <c r="O16" s="3">
        <f>IFERROR(__xludf.DUMMYFUNCTION("""COMPUTED_VALUE"""),8.0)</f>
        <v>8</v>
      </c>
      <c r="P16" s="3">
        <f>IFERROR(__xludf.DUMMYFUNCTION("""COMPUTED_VALUE"""),6.0)</f>
        <v>6</v>
      </c>
      <c r="Q16" s="3">
        <f>IFERROR(__xludf.DUMMYFUNCTION("""COMPUTED_VALUE"""),2.0)</f>
        <v>2</v>
      </c>
      <c r="R16" s="3"/>
      <c r="S16" s="3">
        <f>IFERROR(__xludf.DUMMYFUNCTION("""COMPUTED_VALUE"""),1.0)</f>
        <v>1</v>
      </c>
      <c r="T16" s="3"/>
      <c r="U16" s="3"/>
      <c r="V16" s="3">
        <f>IFERROR(__xludf.DUMMYFUNCTION("""COMPUTED_VALUE"""),0.1)</f>
        <v>0.1</v>
      </c>
      <c r="W16" s="3"/>
      <c r="X16" s="3"/>
      <c r="Y16" s="3"/>
      <c r="Z16" s="3">
        <f>IFERROR(__xludf.DUMMYFUNCTION("""COMPUTED_VALUE"""),0.0)</f>
        <v>0</v>
      </c>
      <c r="AA16" s="3"/>
      <c r="AB16" s="3"/>
      <c r="AC16" s="3">
        <f>IFERROR(__xludf.DUMMYFUNCTION("""COMPUTED_VALUE"""),0.0)</f>
        <v>0</v>
      </c>
      <c r="AD16" s="3"/>
      <c r="AE16" s="3">
        <f>IFERROR(__xludf.DUMMYFUNCTION("""COMPUTED_VALUE"""),0.0)</f>
        <v>0</v>
      </c>
      <c r="AF16" s="3"/>
      <c r="AG16" s="3"/>
      <c r="AH16" s="3"/>
      <c r="AI16" s="3"/>
      <c r="AJ16" s="3"/>
      <c r="AK16" s="3"/>
      <c r="AL16" s="3"/>
      <c r="AM16" s="3"/>
      <c r="AN16" s="3"/>
      <c r="AO16" s="3">
        <f>IFERROR(__xludf.DUMMYFUNCTION("""COMPUTED_VALUE"""),0.0)</f>
        <v>0</v>
      </c>
      <c r="AP16" s="3"/>
      <c r="AQ16" s="3"/>
      <c r="AR16" s="3"/>
      <c r="AS16" s="3"/>
      <c r="AT16" s="3">
        <f>IFERROR(__xludf.DUMMYFUNCTION("""COMPUTED_VALUE"""),0.0)</f>
        <v>0</v>
      </c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</row>
    <row r="17">
      <c r="A17" s="2" t="str">
        <f>IFERROR(__xludf.DUMMYFUNCTION("""COMPUTED_VALUE"""),"23201397")</f>
        <v>23201397</v>
      </c>
      <c r="B17" s="3">
        <f>IFERROR(__xludf.DUMMYFUNCTION("""COMPUTED_VALUE"""),6.2578616352201255)</f>
        <v>6.257861635</v>
      </c>
      <c r="C17" s="3">
        <f>IFERROR(__xludf.DUMMYFUNCTION("""COMPUTED_VALUE"""),3.3333333333333335)</f>
        <v>3.333333333</v>
      </c>
      <c r="D17" s="3">
        <f>IFERROR(__xludf.DUMMYFUNCTION("""COMPUTED_VALUE"""),2.9245283018867925)</f>
        <v>2.924528302</v>
      </c>
      <c r="E17" s="3">
        <f>IFERROR(__xludf.DUMMYFUNCTION("""COMPUTED_VALUE"""),0.0)</f>
        <v>0</v>
      </c>
      <c r="F17" s="3">
        <f>IFERROR(__xludf.DUMMYFUNCTION("""COMPUTED_VALUE"""),10.0)</f>
        <v>10</v>
      </c>
      <c r="G17" s="3">
        <f>IFERROR(__xludf.DUMMYFUNCTION("""COMPUTED_VALUE"""),0.0)</f>
        <v>0</v>
      </c>
      <c r="H17" s="3">
        <f>IFERROR(__xludf.DUMMYFUNCTION("""COMPUTED_VALUE"""),0.0)</f>
        <v>0</v>
      </c>
      <c r="I17" s="3">
        <f>IFERROR(__xludf.DUMMYFUNCTION("""COMPUTED_VALUE"""),0.0)</f>
        <v>0</v>
      </c>
      <c r="J17" s="3">
        <f>IFERROR(__xludf.DUMMYFUNCTION("""COMPUTED_VALUE"""),7.0)</f>
        <v>7</v>
      </c>
      <c r="K17" s="3">
        <f>IFERROR(__xludf.DUMMYFUNCTION("""COMPUTED_VALUE"""),8.0)</f>
        <v>8</v>
      </c>
      <c r="L17" s="3">
        <f>IFERROR(__xludf.DUMMYFUNCTION("""COMPUTED_VALUE"""),7.0)</f>
        <v>7</v>
      </c>
      <c r="M17" s="3">
        <f>IFERROR(__xludf.DUMMYFUNCTION("""COMPUTED_VALUE"""),0.0)</f>
        <v>0</v>
      </c>
      <c r="N17" s="3">
        <f>IFERROR(__xludf.DUMMYFUNCTION("""COMPUTED_VALUE"""),3.0)</f>
        <v>3</v>
      </c>
      <c r="O17" s="3">
        <f>IFERROR(__xludf.DUMMYFUNCTION("""COMPUTED_VALUE"""),0.0)</f>
        <v>0</v>
      </c>
      <c r="P17" s="3">
        <f>IFERROR(__xludf.DUMMYFUNCTION("""COMPUTED_VALUE"""),6.0)</f>
        <v>6</v>
      </c>
      <c r="Q17" s="3">
        <f>IFERROR(__xludf.DUMMYFUNCTION("""COMPUTED_VALUE"""),0.0)</f>
        <v>0</v>
      </c>
      <c r="R17" s="3"/>
      <c r="S17" s="3"/>
      <c r="T17" s="3"/>
      <c r="U17" s="3"/>
      <c r="V17" s="3"/>
      <c r="W17" s="3"/>
      <c r="X17" s="3"/>
      <c r="Y17" s="3">
        <f>IFERROR(__xludf.DUMMYFUNCTION("""COMPUTED_VALUE"""),0.0)</f>
        <v>0</v>
      </c>
      <c r="Z17" s="3"/>
      <c r="AA17" s="3">
        <f>IFERROR(__xludf.DUMMYFUNCTION("""COMPUTED_VALUE"""),1.0)</f>
        <v>1</v>
      </c>
      <c r="AB17" s="3"/>
      <c r="AC17" s="3"/>
      <c r="AD17" s="3">
        <f>IFERROR(__xludf.DUMMYFUNCTION("""COMPUTED_VALUE"""),0.0)</f>
        <v>0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>
        <f>IFERROR(__xludf.DUMMYFUNCTION("""COMPUTED_VALUE"""),0.0)</f>
        <v>0</v>
      </c>
      <c r="AP17" s="3"/>
      <c r="AQ17" s="3">
        <f>IFERROR(__xludf.DUMMYFUNCTION("""COMPUTED_VALUE"""),0.0)</f>
        <v>0</v>
      </c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</row>
    <row r="18">
      <c r="A18" s="2" t="str">
        <f>IFERROR(__xludf.DUMMYFUNCTION("""COMPUTED_VALUE"""),"23201408")</f>
        <v>23201408</v>
      </c>
      <c r="B18" s="3">
        <f>IFERROR(__xludf.DUMMYFUNCTION("""COMPUTED_VALUE"""),2.2641509433962264)</f>
        <v>2.264150943</v>
      </c>
      <c r="C18" s="3">
        <f>IFERROR(__xludf.DUMMYFUNCTION("""COMPUTED_VALUE"""),0.0)</f>
        <v>0</v>
      </c>
      <c r="D18" s="3">
        <f>IFERROR(__xludf.DUMMYFUNCTION("""COMPUTED_VALUE"""),2.2641509433962264)</f>
        <v>2.264150943</v>
      </c>
      <c r="E18" s="3">
        <f>IFERROR(__xludf.DUMMYFUNCTION("""COMPUTED_VALUE"""),0.0)</f>
        <v>0</v>
      </c>
      <c r="F18" s="3">
        <f>IFERROR(__xludf.DUMMYFUNCTION("""COMPUTED_VALUE"""),0.0)</f>
        <v>0</v>
      </c>
      <c r="G18" s="3">
        <f>IFERROR(__xludf.DUMMYFUNCTION("""COMPUTED_VALUE"""),0.0)</f>
        <v>0</v>
      </c>
      <c r="H18" s="3">
        <f>IFERROR(__xludf.DUMMYFUNCTION("""COMPUTED_VALUE"""),0.0)</f>
        <v>0</v>
      </c>
      <c r="I18" s="3">
        <f>IFERROR(__xludf.DUMMYFUNCTION("""COMPUTED_VALUE"""),0.0)</f>
        <v>0</v>
      </c>
      <c r="J18" s="3">
        <f>IFERROR(__xludf.DUMMYFUNCTION("""COMPUTED_VALUE"""),8.0)</f>
        <v>8</v>
      </c>
      <c r="K18" s="3">
        <f>IFERROR(__xludf.DUMMYFUNCTION("""COMPUTED_VALUE"""),8.0)</f>
        <v>8</v>
      </c>
      <c r="L18" s="3">
        <f>IFERROR(__xludf.DUMMYFUNCTION("""COMPUTED_VALUE"""),8.0)</f>
        <v>8</v>
      </c>
      <c r="M18" s="3">
        <f>IFERROR(__xludf.DUMMYFUNCTION("""COMPUTED_VALUE"""),0.0)</f>
        <v>0</v>
      </c>
      <c r="N18" s="3">
        <f>IFERROR(__xludf.DUMMYFUNCTION("""COMPUTED_VALUE"""),0.0)</f>
        <v>0</v>
      </c>
      <c r="O18" s="3">
        <f>IFERROR(__xludf.DUMMYFUNCTION("""COMPUTED_VALUE"""),0.0)</f>
        <v>0</v>
      </c>
      <c r="P18" s="3">
        <f>IFERROR(__xludf.DUMMYFUNCTION("""COMPUTED_VALUE"""),0.0)</f>
        <v>0</v>
      </c>
      <c r="Q18" s="3">
        <f>IFERROR(__xludf.DUMMYFUNCTION("""COMPUTED_VALUE"""),0.0)</f>
        <v>0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</row>
    <row r="19">
      <c r="A19" s="2" t="str">
        <f>IFERROR(__xludf.DUMMYFUNCTION("""COMPUTED_VALUE"""),"23241022")</f>
        <v>23241022</v>
      </c>
      <c r="B19" s="3">
        <f>IFERROR(__xludf.DUMMYFUNCTION("""COMPUTED_VALUE"""),2.641509433962264)</f>
        <v>2.641509434</v>
      </c>
      <c r="C19" s="3">
        <f>IFERROR(__xludf.DUMMYFUNCTION("""COMPUTED_VALUE"""),0.0)</f>
        <v>0</v>
      </c>
      <c r="D19" s="3">
        <f>IFERROR(__xludf.DUMMYFUNCTION("""COMPUTED_VALUE"""),2.641509433962264)</f>
        <v>2.641509434</v>
      </c>
      <c r="E19" s="3">
        <f>IFERROR(__xludf.DUMMYFUNCTION("""COMPUTED_VALUE"""),0.0)</f>
        <v>0</v>
      </c>
      <c r="F19" s="3">
        <f>IFERROR(__xludf.DUMMYFUNCTION("""COMPUTED_VALUE"""),0.0)</f>
        <v>0</v>
      </c>
      <c r="G19" s="3">
        <f>IFERROR(__xludf.DUMMYFUNCTION("""COMPUTED_VALUE"""),0.0)</f>
        <v>0</v>
      </c>
      <c r="H19" s="3">
        <f>IFERROR(__xludf.DUMMYFUNCTION("""COMPUTED_VALUE"""),0.0)</f>
        <v>0</v>
      </c>
      <c r="I19" s="3">
        <f>IFERROR(__xludf.DUMMYFUNCTION("""COMPUTED_VALUE"""),0.0)</f>
        <v>0</v>
      </c>
      <c r="J19" s="3">
        <f>IFERROR(__xludf.DUMMYFUNCTION("""COMPUTED_VALUE"""),5.0)</f>
        <v>5</v>
      </c>
      <c r="K19" s="3">
        <f>IFERROR(__xludf.DUMMYFUNCTION("""COMPUTED_VALUE"""),8.0)</f>
        <v>8</v>
      </c>
      <c r="L19" s="3">
        <f>IFERROR(__xludf.DUMMYFUNCTION("""COMPUTED_VALUE"""),8.0)</f>
        <v>8</v>
      </c>
      <c r="M19" s="3">
        <f>IFERROR(__xludf.DUMMYFUNCTION("""COMPUTED_VALUE"""),0.0)</f>
        <v>0</v>
      </c>
      <c r="N19" s="3">
        <f>IFERROR(__xludf.DUMMYFUNCTION("""COMPUTED_VALUE"""),7.0)</f>
        <v>7</v>
      </c>
      <c r="O19" s="3">
        <f>IFERROR(__xludf.DUMMYFUNCTION("""COMPUTED_VALUE"""),0.0)</f>
        <v>0</v>
      </c>
      <c r="P19" s="3">
        <f>IFERROR(__xludf.DUMMYFUNCTION("""COMPUTED_VALUE"""),0.0)</f>
        <v>0</v>
      </c>
      <c r="Q19" s="3">
        <f>IFERROR(__xludf.DUMMYFUNCTION("""COMPUTED_VALUE"""),0.0)</f>
        <v>0</v>
      </c>
      <c r="R19" s="3"/>
      <c r="S19" s="3"/>
      <c r="T19" s="3"/>
      <c r="U19" s="3"/>
      <c r="V19" s="3"/>
      <c r="W19" s="3"/>
      <c r="X19" s="3"/>
      <c r="Y19" s="3">
        <f>IFERROR(__xludf.DUMMYFUNCTION("""COMPUTED_VALUE"""),0.0)</f>
        <v>0</v>
      </c>
      <c r="Z19" s="3"/>
      <c r="AA19" s="3">
        <f>IFERROR(__xludf.DUMMYFUNCTION("""COMPUTED_VALUE"""),0.0)</f>
        <v>0</v>
      </c>
      <c r="AB19" s="3"/>
      <c r="AC19" s="3"/>
      <c r="AD19" s="3">
        <f>IFERROR(__xludf.DUMMYFUNCTION("""COMPUTED_VALUE"""),0.0)</f>
        <v>0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</row>
    <row r="20">
      <c r="A20" s="2" t="str">
        <f>IFERROR(__xludf.DUMMYFUNCTION("""COMPUTED_VALUE"""),"23301192")</f>
        <v>23301192</v>
      </c>
      <c r="B20" s="3">
        <f>IFERROR(__xludf.DUMMYFUNCTION("""COMPUTED_VALUE"""),15.572327044025156)</f>
        <v>15.57232704</v>
      </c>
      <c r="C20" s="3">
        <f>IFERROR(__xludf.DUMMYFUNCTION("""COMPUTED_VALUE"""),10.666666666666666)</f>
        <v>10.66666667</v>
      </c>
      <c r="D20" s="3">
        <f>IFERROR(__xludf.DUMMYFUNCTION("""COMPUTED_VALUE"""),4.90566037735849)</f>
        <v>4.905660377</v>
      </c>
      <c r="E20" s="3">
        <f>IFERROR(__xludf.DUMMYFUNCTION("""COMPUTED_VALUE"""),10.0)</f>
        <v>10</v>
      </c>
      <c r="F20" s="3">
        <f>IFERROR(__xludf.DUMMYFUNCTION("""COMPUTED_VALUE"""),10.0)</f>
        <v>10</v>
      </c>
      <c r="G20" s="3">
        <f>IFERROR(__xludf.DUMMYFUNCTION("""COMPUTED_VALUE"""),0.0)</f>
        <v>0</v>
      </c>
      <c r="H20" s="3">
        <f>IFERROR(__xludf.DUMMYFUNCTION("""COMPUTED_VALUE"""),12.0)</f>
        <v>12</v>
      </c>
      <c r="I20" s="3">
        <f>IFERROR(__xludf.DUMMYFUNCTION("""COMPUTED_VALUE"""),0.0)</f>
        <v>0</v>
      </c>
      <c r="J20" s="3">
        <f>IFERROR(__xludf.DUMMYFUNCTION("""COMPUTED_VALUE"""),8.0)</f>
        <v>8</v>
      </c>
      <c r="K20" s="3">
        <f>IFERROR(__xludf.DUMMYFUNCTION("""COMPUTED_VALUE"""),8.0)</f>
        <v>8</v>
      </c>
      <c r="L20" s="3">
        <f>IFERROR(__xludf.DUMMYFUNCTION("""COMPUTED_VALUE"""),0.0)</f>
        <v>0</v>
      </c>
      <c r="M20" s="3">
        <f>IFERROR(__xludf.DUMMYFUNCTION("""COMPUTED_VALUE"""),8.0)</f>
        <v>8</v>
      </c>
      <c r="N20" s="3">
        <f>IFERROR(__xludf.DUMMYFUNCTION("""COMPUTED_VALUE"""),8.0)</f>
        <v>8</v>
      </c>
      <c r="O20" s="3">
        <f>IFERROR(__xludf.DUMMYFUNCTION("""COMPUTED_VALUE"""),8.0)</f>
        <v>8</v>
      </c>
      <c r="P20" s="3">
        <f>IFERROR(__xludf.DUMMYFUNCTION("""COMPUTED_VALUE"""),6.0)</f>
        <v>6</v>
      </c>
      <c r="Q20" s="3">
        <f>IFERROR(__xludf.DUMMYFUNCTION("""COMPUTED_VALUE"""),6.0)</f>
        <v>6</v>
      </c>
      <c r="R20" s="3">
        <f>IFERROR(__xludf.DUMMYFUNCTION("""COMPUTED_VALUE"""),1.0)</f>
        <v>1</v>
      </c>
      <c r="S20" s="3">
        <f>IFERROR(__xludf.DUMMYFUNCTION("""COMPUTED_VALUE"""),0.0)</f>
        <v>0</v>
      </c>
      <c r="T20" s="3"/>
      <c r="U20" s="3"/>
      <c r="V20" s="3"/>
      <c r="W20" s="3"/>
      <c r="X20" s="3"/>
      <c r="Y20" s="3">
        <f>IFERROR(__xludf.DUMMYFUNCTION("""COMPUTED_VALUE"""),0.0)</f>
        <v>0</v>
      </c>
      <c r="Z20" s="3"/>
      <c r="AA20" s="3">
        <f>IFERROR(__xludf.DUMMYFUNCTION("""COMPUTED_VALUE"""),1.0)</f>
        <v>1</v>
      </c>
      <c r="AB20" s="3"/>
      <c r="AC20" s="3"/>
      <c r="AD20" s="3"/>
      <c r="AE20" s="3"/>
      <c r="AF20" s="3"/>
      <c r="AG20" s="3">
        <f>IFERROR(__xludf.DUMMYFUNCTION("""COMPUTED_VALUE"""),0.2)</f>
        <v>0.2</v>
      </c>
      <c r="AH20" s="3"/>
      <c r="AI20" s="3"/>
      <c r="AJ20" s="3"/>
      <c r="AK20" s="3"/>
      <c r="AL20" s="3"/>
      <c r="AM20" s="3">
        <f>IFERROR(__xludf.DUMMYFUNCTION("""COMPUTED_VALUE"""),1.0)</f>
        <v>1</v>
      </c>
      <c r="AN20" s="3"/>
      <c r="AO20" s="3">
        <f>IFERROR(__xludf.DUMMYFUNCTION("""COMPUTED_VALUE"""),0.0)</f>
        <v>0</v>
      </c>
      <c r="AP20" s="3"/>
      <c r="AQ20" s="3">
        <f>IFERROR(__xludf.DUMMYFUNCTION("""COMPUTED_VALUE"""),0.0)</f>
        <v>0</v>
      </c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</row>
    <row r="21">
      <c r="A21" s="2" t="str">
        <f>IFERROR(__xludf.DUMMYFUNCTION("""COMPUTED_VALUE"""),"23301196")</f>
        <v>23301196</v>
      </c>
      <c r="B21" s="3">
        <f>IFERROR(__xludf.DUMMYFUNCTION("""COMPUTED_VALUE"""),0.0)</f>
        <v>0</v>
      </c>
      <c r="C21" s="3">
        <f>IFERROR(__xludf.DUMMYFUNCTION("""COMPUTED_VALUE"""),8.0)</f>
        <v>8</v>
      </c>
      <c r="D21" s="3">
        <f>IFERROR(__xludf.DUMMYFUNCTION("""COMPUTED_VALUE"""),5.0)</f>
        <v>5</v>
      </c>
      <c r="E21" s="3">
        <f>IFERROR(__xludf.DUMMYFUNCTION("""COMPUTED_VALUE"""),10.0)</f>
        <v>10</v>
      </c>
      <c r="F21" s="3">
        <f>IFERROR(__xludf.DUMMYFUNCTION("""COMPUTED_VALUE"""),0.0)</f>
        <v>0</v>
      </c>
      <c r="G21" s="3">
        <f>IFERROR(__xludf.DUMMYFUNCTION("""COMPUTED_VALUE"""),14.0)</f>
        <v>14</v>
      </c>
      <c r="H21" s="3">
        <f>IFERROR(__xludf.DUMMYFUNCTION("""COMPUTED_VALUE"""),0.0)</f>
        <v>0</v>
      </c>
      <c r="I21" s="3">
        <f>IFERROR(__xludf.DUMMYFUNCTION("""COMPUTED_VALUE"""),0.0)</f>
        <v>0</v>
      </c>
      <c r="J21" s="3">
        <f>IFERROR(__xludf.DUMMYFUNCTION("""COMPUTED_VALUE"""),8.0)</f>
        <v>8</v>
      </c>
      <c r="K21" s="3">
        <f>IFERROR(__xludf.DUMMYFUNCTION("""COMPUTED_VALUE"""),8.0)</f>
        <v>8</v>
      </c>
      <c r="L21" s="3">
        <f>IFERROR(__xludf.DUMMYFUNCTION("""COMPUTED_VALUE"""),8.0)</f>
        <v>8</v>
      </c>
      <c r="M21" s="3">
        <f>IFERROR(__xludf.DUMMYFUNCTION("""COMPUTED_VALUE"""),8.0)</f>
        <v>8</v>
      </c>
      <c r="N21" s="3">
        <f>IFERROR(__xludf.DUMMYFUNCTION("""COMPUTED_VALUE"""),8.0)</f>
        <v>8</v>
      </c>
      <c r="O21" s="3">
        <f>IFERROR(__xludf.DUMMYFUNCTION("""COMPUTED_VALUE"""),8.0)</f>
        <v>8</v>
      </c>
      <c r="P21" s="3">
        <f>IFERROR(__xludf.DUMMYFUNCTION("""COMPUTED_VALUE"""),6.0)</f>
        <v>6</v>
      </c>
      <c r="Q21" s="3">
        <f>IFERROR(__xludf.DUMMYFUNCTION("""COMPUTED_VALUE"""),0.0)</f>
        <v>0</v>
      </c>
      <c r="R21" s="3">
        <f>IFERROR(__xludf.DUMMYFUNCTION("""COMPUTED_VALUE"""),1.0)</f>
        <v>1</v>
      </c>
      <c r="S21" s="3">
        <f>IFERROR(__xludf.DUMMYFUNCTION("""COMPUTED_VALUE"""),0.0)</f>
        <v>0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>
        <f>IFERROR(__xludf.DUMMYFUNCTION("""COMPUTED_VALUE"""),0.7)</f>
        <v>0.7</v>
      </c>
      <c r="AE21" s="3"/>
      <c r="AF21" s="3"/>
      <c r="AG21" s="3">
        <f>IFERROR(__xludf.DUMMYFUNCTION("""COMPUTED_VALUE"""),0.0)</f>
        <v>0</v>
      </c>
      <c r="AH21" s="3"/>
      <c r="AI21" s="3"/>
      <c r="AJ21" s="3"/>
      <c r="AK21" s="3"/>
      <c r="AL21" s="3"/>
      <c r="AM21" s="3">
        <f>IFERROR(__xludf.DUMMYFUNCTION("""COMPUTED_VALUE"""),1.0)</f>
        <v>1</v>
      </c>
      <c r="AN21" s="3"/>
      <c r="AO21" s="3">
        <f>IFERROR(__xludf.DUMMYFUNCTION("""COMPUTED_VALUE"""),1.0)</f>
        <v>1</v>
      </c>
      <c r="AP21" s="3"/>
      <c r="AQ21" s="3">
        <f>IFERROR(__xludf.DUMMYFUNCTION("""COMPUTED_VALUE"""),0.2)</f>
        <v>0.2</v>
      </c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</row>
    <row r="22">
      <c r="A22" s="2" t="str">
        <f>IFERROR(__xludf.DUMMYFUNCTION("""COMPUTED_VALUE"""),"23301296")</f>
        <v>23301296</v>
      </c>
      <c r="B22" s="3">
        <f>IFERROR(__xludf.DUMMYFUNCTION("""COMPUTED_VALUE"""),1.610062893081761)</f>
        <v>1.610062893</v>
      </c>
      <c r="C22" s="3">
        <f>IFERROR(__xludf.DUMMYFUNCTION("""COMPUTED_VALUE"""),0.6666666666666666)</f>
        <v>0.6666666667</v>
      </c>
      <c r="D22" s="3">
        <f>IFERROR(__xludf.DUMMYFUNCTION("""COMPUTED_VALUE"""),0.9433962264150944)</f>
        <v>0.9433962264</v>
      </c>
      <c r="E22" s="3">
        <f>IFERROR(__xludf.DUMMYFUNCTION("""COMPUTED_VALUE"""),2.0)</f>
        <v>2</v>
      </c>
      <c r="F22" s="3">
        <f>IFERROR(__xludf.DUMMYFUNCTION("""COMPUTED_VALUE"""),0.0)</f>
        <v>0</v>
      </c>
      <c r="G22" s="3">
        <f>IFERROR(__xludf.DUMMYFUNCTION("""COMPUTED_VALUE"""),0.0)</f>
        <v>0</v>
      </c>
      <c r="H22" s="3">
        <f>IFERROR(__xludf.DUMMYFUNCTION("""COMPUTED_VALUE"""),0.0)</f>
        <v>0</v>
      </c>
      <c r="I22" s="3">
        <f>IFERROR(__xludf.DUMMYFUNCTION("""COMPUTED_VALUE"""),0.0)</f>
        <v>0</v>
      </c>
      <c r="J22" s="3">
        <f>IFERROR(__xludf.DUMMYFUNCTION("""COMPUTED_VALUE"""),6.0)</f>
        <v>6</v>
      </c>
      <c r="K22" s="3">
        <f>IFERROR(__xludf.DUMMYFUNCTION("""COMPUTED_VALUE"""),4.0)</f>
        <v>4</v>
      </c>
      <c r="L22" s="3">
        <f>IFERROR(__xludf.DUMMYFUNCTION("""COMPUTED_VALUE"""),0.0)</f>
        <v>0</v>
      </c>
      <c r="M22" s="3">
        <f>IFERROR(__xludf.DUMMYFUNCTION("""COMPUTED_VALUE"""),0.0)</f>
        <v>0</v>
      </c>
      <c r="N22" s="3">
        <f>IFERROR(__xludf.DUMMYFUNCTION("""COMPUTED_VALUE"""),0.0)</f>
        <v>0</v>
      </c>
      <c r="O22" s="3">
        <f>IFERROR(__xludf.DUMMYFUNCTION("""COMPUTED_VALUE"""),0.0)</f>
        <v>0</v>
      </c>
      <c r="P22" s="3">
        <f>IFERROR(__xludf.DUMMYFUNCTION("""COMPUTED_VALUE"""),0.0)</f>
        <v>0</v>
      </c>
      <c r="Q22" s="3">
        <f>IFERROR(__xludf.DUMMYFUNCTION("""COMPUTED_VALUE"""),0.0)</f>
        <v>0</v>
      </c>
      <c r="R22" s="3">
        <f>IFERROR(__xludf.DUMMYFUNCTION("""COMPUTED_VALUE"""),0.2)</f>
        <v>0.2</v>
      </c>
      <c r="S22" s="3">
        <f>IFERROR(__xludf.DUMMYFUNCTION("""COMPUTED_VALUE"""),0.0)</f>
        <v>0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</row>
    <row r="23">
      <c r="A23" s="2" t="str">
        <f>IFERROR(__xludf.DUMMYFUNCTION("""COMPUTED_VALUE"""),"23301360")</f>
        <v>23301360</v>
      </c>
      <c r="B23" s="3">
        <f>IFERROR(__xludf.DUMMYFUNCTION("""COMPUTED_VALUE"""),0.8490566037735848)</f>
        <v>0.8490566038</v>
      </c>
      <c r="C23" s="3">
        <f>IFERROR(__xludf.DUMMYFUNCTION("""COMPUTED_VALUE"""),0.0)</f>
        <v>0</v>
      </c>
      <c r="D23" s="3">
        <f>IFERROR(__xludf.DUMMYFUNCTION("""COMPUTED_VALUE"""),0.8490566037735848)</f>
        <v>0.8490566038</v>
      </c>
      <c r="E23" s="3">
        <f>IFERROR(__xludf.DUMMYFUNCTION("""COMPUTED_VALUE"""),0.0)</f>
        <v>0</v>
      </c>
      <c r="F23" s="3">
        <f>IFERROR(__xludf.DUMMYFUNCTION("""COMPUTED_VALUE"""),0.0)</f>
        <v>0</v>
      </c>
      <c r="G23" s="3">
        <f>IFERROR(__xludf.DUMMYFUNCTION("""COMPUTED_VALUE"""),0.0)</f>
        <v>0</v>
      </c>
      <c r="H23" s="3">
        <f>IFERROR(__xludf.DUMMYFUNCTION("""COMPUTED_VALUE"""),0.0)</f>
        <v>0</v>
      </c>
      <c r="I23" s="3">
        <f>IFERROR(__xludf.DUMMYFUNCTION("""COMPUTED_VALUE"""),0.0)</f>
        <v>0</v>
      </c>
      <c r="J23" s="3">
        <f>IFERROR(__xludf.DUMMYFUNCTION("""COMPUTED_VALUE"""),3.0)</f>
        <v>3</v>
      </c>
      <c r="K23" s="3">
        <f>IFERROR(__xludf.DUMMYFUNCTION("""COMPUTED_VALUE"""),0.0)</f>
        <v>0</v>
      </c>
      <c r="L23" s="3">
        <f>IFERROR(__xludf.DUMMYFUNCTION("""COMPUTED_VALUE"""),0.0)</f>
        <v>0</v>
      </c>
      <c r="M23" s="3">
        <f>IFERROR(__xludf.DUMMYFUNCTION("""COMPUTED_VALUE"""),0.0)</f>
        <v>0</v>
      </c>
      <c r="N23" s="3">
        <f>IFERROR(__xludf.DUMMYFUNCTION("""COMPUTED_VALUE"""),0.0)</f>
        <v>0</v>
      </c>
      <c r="O23" s="3">
        <f>IFERROR(__xludf.DUMMYFUNCTION("""COMPUTED_VALUE"""),1.0)</f>
        <v>1</v>
      </c>
      <c r="P23" s="3">
        <f>IFERROR(__xludf.DUMMYFUNCTION("""COMPUTED_VALUE"""),2.0)</f>
        <v>2</v>
      </c>
      <c r="Q23" s="3">
        <f>IFERROR(__xludf.DUMMYFUNCTION("""COMPUTED_VALUE"""),3.0)</f>
        <v>3</v>
      </c>
      <c r="R23" s="3">
        <f>IFERROR(__xludf.DUMMYFUNCTION("""COMPUTED_VALUE"""),0.0)</f>
        <v>0</v>
      </c>
      <c r="S23" s="3">
        <f>IFERROR(__xludf.DUMMYFUNCTION("""COMPUTED_VALUE"""),0.0)</f>
        <v>0</v>
      </c>
      <c r="T23" s="3"/>
      <c r="U23" s="3"/>
      <c r="V23" s="3"/>
      <c r="W23" s="3"/>
      <c r="X23" s="3"/>
      <c r="Y23" s="3">
        <f>IFERROR(__xludf.DUMMYFUNCTION("""COMPUTED_VALUE"""),0.0)</f>
        <v>0</v>
      </c>
      <c r="Z23" s="3"/>
      <c r="AA23" s="3">
        <f>IFERROR(__xludf.DUMMYFUNCTION("""COMPUTED_VALUE"""),0.0)</f>
        <v>0</v>
      </c>
      <c r="AB23" s="3"/>
      <c r="AC23" s="3"/>
      <c r="AD23" s="3">
        <f>IFERROR(__xludf.DUMMYFUNCTION("""COMPUTED_VALUE"""),0.0)</f>
        <v>0</v>
      </c>
      <c r="AE23" s="3"/>
      <c r="AF23" s="3"/>
      <c r="AG23" s="3">
        <f>IFERROR(__xludf.DUMMYFUNCTION("""COMPUTED_VALUE"""),0.0)</f>
        <v>0</v>
      </c>
      <c r="AH23" s="3"/>
      <c r="AI23" s="3"/>
      <c r="AJ23" s="3"/>
      <c r="AK23" s="3"/>
      <c r="AL23" s="3"/>
      <c r="AM23" s="3">
        <f>IFERROR(__xludf.DUMMYFUNCTION("""COMPUTED_VALUE"""),0.0)</f>
        <v>0</v>
      </c>
      <c r="AN23" s="3"/>
      <c r="AO23" s="3">
        <f>IFERROR(__xludf.DUMMYFUNCTION("""COMPUTED_VALUE"""),0.0)</f>
        <v>0</v>
      </c>
      <c r="AP23" s="3"/>
      <c r="AQ23" s="3">
        <f>IFERROR(__xludf.DUMMYFUNCTION("""COMPUTED_VALUE"""),0.0)</f>
        <v>0</v>
      </c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</row>
    <row r="24">
      <c r="A24" s="2" t="str">
        <f>IFERROR(__xludf.DUMMYFUNCTION("""COMPUTED_VALUE"""),"24101120")</f>
        <v>24101120</v>
      </c>
      <c r="B24" s="3">
        <f>IFERROR(__xludf.DUMMYFUNCTION("""COMPUTED_VALUE"""),8.333333333333334)</f>
        <v>8.333333333</v>
      </c>
      <c r="C24" s="3">
        <f>IFERROR(__xludf.DUMMYFUNCTION("""COMPUTED_VALUE"""),3.3333333333333335)</f>
        <v>3.333333333</v>
      </c>
      <c r="D24" s="3">
        <f>IFERROR(__xludf.DUMMYFUNCTION("""COMPUTED_VALUE"""),5.0)</f>
        <v>5</v>
      </c>
      <c r="E24" s="3">
        <f>IFERROR(__xludf.DUMMYFUNCTION("""COMPUTED_VALUE"""),0.0)</f>
        <v>0</v>
      </c>
      <c r="F24" s="3">
        <f>IFERROR(__xludf.DUMMYFUNCTION("""COMPUTED_VALUE"""),10.0)</f>
        <v>10</v>
      </c>
      <c r="G24" s="3">
        <f>IFERROR(__xludf.DUMMYFUNCTION("""COMPUTED_VALUE"""),0.0)</f>
        <v>0</v>
      </c>
      <c r="H24" s="3">
        <f>IFERROR(__xludf.DUMMYFUNCTION("""COMPUTED_VALUE"""),0.0)</f>
        <v>0</v>
      </c>
      <c r="I24" s="3">
        <f>IFERROR(__xludf.DUMMYFUNCTION("""COMPUTED_VALUE"""),0.0)</f>
        <v>0</v>
      </c>
      <c r="J24" s="3">
        <f>IFERROR(__xludf.DUMMYFUNCTION("""COMPUTED_VALUE"""),8.0)</f>
        <v>8</v>
      </c>
      <c r="K24" s="3">
        <f>IFERROR(__xludf.DUMMYFUNCTION("""COMPUTED_VALUE"""),8.0)</f>
        <v>8</v>
      </c>
      <c r="L24" s="3">
        <f>IFERROR(__xludf.DUMMYFUNCTION("""COMPUTED_VALUE"""),8.0)</f>
        <v>8</v>
      </c>
      <c r="M24" s="3">
        <f>IFERROR(__xludf.DUMMYFUNCTION("""COMPUTED_VALUE"""),8.0)</f>
        <v>8</v>
      </c>
      <c r="N24" s="3">
        <f>IFERROR(__xludf.DUMMYFUNCTION("""COMPUTED_VALUE"""),8.0)</f>
        <v>8</v>
      </c>
      <c r="O24" s="3">
        <f>IFERROR(__xludf.DUMMYFUNCTION("""COMPUTED_VALUE"""),8.0)</f>
        <v>8</v>
      </c>
      <c r="P24" s="3">
        <f>IFERROR(__xludf.DUMMYFUNCTION("""COMPUTED_VALUE"""),6.0)</f>
        <v>6</v>
      </c>
      <c r="Q24" s="3">
        <f>IFERROR(__xludf.DUMMYFUNCTION("""COMPUTED_VALUE"""),2.0)</f>
        <v>2</v>
      </c>
      <c r="R24" s="3">
        <f>IFERROR(__xludf.DUMMYFUNCTION("""COMPUTED_VALUE"""),0.0)</f>
        <v>0</v>
      </c>
      <c r="S24" s="3">
        <f>IFERROR(__xludf.DUMMYFUNCTION("""COMPUTED_VALUE"""),0.0)</f>
        <v>0</v>
      </c>
      <c r="T24" s="3"/>
      <c r="U24" s="3"/>
      <c r="V24" s="3"/>
      <c r="W24" s="3"/>
      <c r="X24" s="3"/>
      <c r="Y24" s="3">
        <f>IFERROR(__xludf.DUMMYFUNCTION("""COMPUTED_VALUE"""),0.0)</f>
        <v>0</v>
      </c>
      <c r="Z24" s="3"/>
      <c r="AA24" s="3">
        <f>IFERROR(__xludf.DUMMYFUNCTION("""COMPUTED_VALUE"""),1.0)</f>
        <v>1</v>
      </c>
      <c r="AB24" s="3"/>
      <c r="AC24" s="3"/>
      <c r="AD24" s="3">
        <f>IFERROR(__xludf.DUMMYFUNCTION("""COMPUTED_VALUE"""),0.0)</f>
        <v>0</v>
      </c>
      <c r="AE24" s="3"/>
      <c r="AF24" s="3"/>
      <c r="AG24" s="3">
        <f>IFERROR(__xludf.DUMMYFUNCTION("""COMPUTED_VALUE"""),0.0)</f>
        <v>0</v>
      </c>
      <c r="AH24" s="3"/>
      <c r="AI24" s="3"/>
      <c r="AJ24" s="3"/>
      <c r="AK24" s="3"/>
      <c r="AL24" s="3"/>
      <c r="AM24" s="3">
        <f>IFERROR(__xludf.DUMMYFUNCTION("""COMPUTED_VALUE"""),0.0)</f>
        <v>0</v>
      </c>
      <c r="AN24" s="3"/>
      <c r="AO24" s="3">
        <f>IFERROR(__xludf.DUMMYFUNCTION("""COMPUTED_VALUE"""),0.0)</f>
        <v>0</v>
      </c>
      <c r="AP24" s="3"/>
      <c r="AQ24" s="3">
        <f>IFERROR(__xludf.DUMMYFUNCTION("""COMPUTED_VALUE"""),0.0)</f>
        <v>0</v>
      </c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</row>
    <row r="25">
      <c r="A25" s="2" t="str">
        <f>IFERROR(__xludf.DUMMYFUNCTION("""COMPUTED_VALUE"""),"24101144")</f>
        <v>24101144</v>
      </c>
      <c r="B25" s="3">
        <f>IFERROR(__xludf.DUMMYFUNCTION("""COMPUTED_VALUE"""),8.333333333333334)</f>
        <v>8.333333333</v>
      </c>
      <c r="C25" s="3">
        <f>IFERROR(__xludf.DUMMYFUNCTION("""COMPUTED_VALUE"""),3.3333333333333335)</f>
        <v>3.333333333</v>
      </c>
      <c r="D25" s="3">
        <f>IFERROR(__xludf.DUMMYFUNCTION("""COMPUTED_VALUE"""),5.0)</f>
        <v>5</v>
      </c>
      <c r="E25" s="3">
        <f>IFERROR(__xludf.DUMMYFUNCTION("""COMPUTED_VALUE"""),0.0)</f>
        <v>0</v>
      </c>
      <c r="F25" s="3">
        <f>IFERROR(__xludf.DUMMYFUNCTION("""COMPUTED_VALUE"""),10.0)</f>
        <v>10</v>
      </c>
      <c r="G25" s="3">
        <f>IFERROR(__xludf.DUMMYFUNCTION("""COMPUTED_VALUE"""),0.0)</f>
        <v>0</v>
      </c>
      <c r="H25" s="3">
        <f>IFERROR(__xludf.DUMMYFUNCTION("""COMPUTED_VALUE"""),0.0)</f>
        <v>0</v>
      </c>
      <c r="I25" s="3">
        <f>IFERROR(__xludf.DUMMYFUNCTION("""COMPUTED_VALUE"""),0.0)</f>
        <v>0</v>
      </c>
      <c r="J25" s="3">
        <f>IFERROR(__xludf.DUMMYFUNCTION("""COMPUTED_VALUE"""),8.0)</f>
        <v>8</v>
      </c>
      <c r="K25" s="3">
        <f>IFERROR(__xludf.DUMMYFUNCTION("""COMPUTED_VALUE"""),8.0)</f>
        <v>8</v>
      </c>
      <c r="L25" s="3">
        <f>IFERROR(__xludf.DUMMYFUNCTION("""COMPUTED_VALUE"""),8.0)</f>
        <v>8</v>
      </c>
      <c r="M25" s="3">
        <f>IFERROR(__xludf.DUMMYFUNCTION("""COMPUTED_VALUE"""),8.0)</f>
        <v>8</v>
      </c>
      <c r="N25" s="3">
        <f>IFERROR(__xludf.DUMMYFUNCTION("""COMPUTED_VALUE"""),8.0)</f>
        <v>8</v>
      </c>
      <c r="O25" s="3">
        <f>IFERROR(__xludf.DUMMYFUNCTION("""COMPUTED_VALUE"""),8.0)</f>
        <v>8</v>
      </c>
      <c r="P25" s="3">
        <f>IFERROR(__xludf.DUMMYFUNCTION("""COMPUTED_VALUE"""),6.0)</f>
        <v>6</v>
      </c>
      <c r="Q25" s="3">
        <f>IFERROR(__xludf.DUMMYFUNCTION("""COMPUTED_VALUE"""),3.0)</f>
        <v>3</v>
      </c>
      <c r="R25" s="3">
        <f>IFERROR(__xludf.DUMMYFUNCTION("""COMPUTED_VALUE"""),0.0)</f>
        <v>0</v>
      </c>
      <c r="S25" s="3">
        <f>IFERROR(__xludf.DUMMYFUNCTION("""COMPUTED_VALUE"""),0.0)</f>
        <v>0</v>
      </c>
      <c r="T25" s="3"/>
      <c r="U25" s="3"/>
      <c r="V25" s="3"/>
      <c r="W25" s="3"/>
      <c r="X25" s="3"/>
      <c r="Y25" s="3">
        <f>IFERROR(__xludf.DUMMYFUNCTION("""COMPUTED_VALUE"""),0.0)</f>
        <v>0</v>
      </c>
      <c r="Z25" s="3"/>
      <c r="AA25" s="3">
        <f>IFERROR(__xludf.DUMMYFUNCTION("""COMPUTED_VALUE"""),1.0)</f>
        <v>1</v>
      </c>
      <c r="AB25" s="3"/>
      <c r="AC25" s="3"/>
      <c r="AD25" s="3">
        <f>IFERROR(__xludf.DUMMYFUNCTION("""COMPUTED_VALUE"""),0.0)</f>
        <v>0</v>
      </c>
      <c r="AE25" s="3"/>
      <c r="AF25" s="3"/>
      <c r="AG25" s="3">
        <f>IFERROR(__xludf.DUMMYFUNCTION("""COMPUTED_VALUE"""),0.0)</f>
        <v>0</v>
      </c>
      <c r="AH25" s="3"/>
      <c r="AI25" s="3"/>
      <c r="AJ25" s="3"/>
      <c r="AK25" s="3"/>
      <c r="AL25" s="3"/>
      <c r="AM25" s="3">
        <f>IFERROR(__xludf.DUMMYFUNCTION("""COMPUTED_VALUE"""),0.0)</f>
        <v>0</v>
      </c>
      <c r="AN25" s="3"/>
      <c r="AO25" s="3">
        <f>IFERROR(__xludf.DUMMYFUNCTION("""COMPUTED_VALUE"""),0.0)</f>
        <v>0</v>
      </c>
      <c r="AP25" s="3"/>
      <c r="AQ25" s="3">
        <f>IFERROR(__xludf.DUMMYFUNCTION("""COMPUTED_VALUE"""),0.0)</f>
        <v>0</v>
      </c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</row>
    <row r="26">
      <c r="A26" s="2" t="str">
        <f>IFERROR(__xludf.DUMMYFUNCTION("""COMPUTED_VALUE"""),"24101174")</f>
        <v>24101174</v>
      </c>
      <c r="B26" s="3">
        <f>IFERROR(__xludf.DUMMYFUNCTION("""COMPUTED_VALUE"""),5.0)</f>
        <v>5</v>
      </c>
      <c r="C26" s="3">
        <f>IFERROR(__xludf.DUMMYFUNCTION("""COMPUTED_VALUE"""),0.0)</f>
        <v>0</v>
      </c>
      <c r="D26" s="3">
        <f>IFERROR(__xludf.DUMMYFUNCTION("""COMPUTED_VALUE"""),5.0)</f>
        <v>5</v>
      </c>
      <c r="E26" s="3">
        <f>IFERROR(__xludf.DUMMYFUNCTION("""COMPUTED_VALUE"""),0.0)</f>
        <v>0</v>
      </c>
      <c r="F26" s="3">
        <f>IFERROR(__xludf.DUMMYFUNCTION("""COMPUTED_VALUE"""),0.0)</f>
        <v>0</v>
      </c>
      <c r="G26" s="3">
        <f>IFERROR(__xludf.DUMMYFUNCTION("""COMPUTED_VALUE"""),0.0)</f>
        <v>0</v>
      </c>
      <c r="H26" s="3">
        <f>IFERROR(__xludf.DUMMYFUNCTION("""COMPUTED_VALUE"""),0.0)</f>
        <v>0</v>
      </c>
      <c r="I26" s="3">
        <f>IFERROR(__xludf.DUMMYFUNCTION("""COMPUTED_VALUE"""),0.0)</f>
        <v>0</v>
      </c>
      <c r="J26" s="3">
        <f>IFERROR(__xludf.DUMMYFUNCTION("""COMPUTED_VALUE"""),8.0)</f>
        <v>8</v>
      </c>
      <c r="K26" s="3">
        <f>IFERROR(__xludf.DUMMYFUNCTION("""COMPUTED_VALUE"""),8.0)</f>
        <v>8</v>
      </c>
      <c r="L26" s="3">
        <f>IFERROR(__xludf.DUMMYFUNCTION("""COMPUTED_VALUE"""),8.0)</f>
        <v>8</v>
      </c>
      <c r="M26" s="3">
        <f>IFERROR(__xludf.DUMMYFUNCTION("""COMPUTED_VALUE"""),8.0)</f>
        <v>8</v>
      </c>
      <c r="N26" s="3">
        <f>IFERROR(__xludf.DUMMYFUNCTION("""COMPUTED_VALUE"""),8.0)</f>
        <v>8</v>
      </c>
      <c r="O26" s="3">
        <f>IFERROR(__xludf.DUMMYFUNCTION("""COMPUTED_VALUE"""),8.0)</f>
        <v>8</v>
      </c>
      <c r="P26" s="3">
        <f>IFERROR(__xludf.DUMMYFUNCTION("""COMPUTED_VALUE"""),6.0)</f>
        <v>6</v>
      </c>
      <c r="Q26" s="3">
        <f>IFERROR(__xludf.DUMMYFUNCTION("""COMPUTED_VALUE"""),4.0)</f>
        <v>4</v>
      </c>
      <c r="R26" s="3">
        <f>IFERROR(__xludf.DUMMYFUNCTION("""COMPUTED_VALUE"""),0.0)</f>
        <v>0</v>
      </c>
      <c r="S26" s="3"/>
      <c r="T26" s="3"/>
      <c r="U26" s="3"/>
      <c r="V26" s="3"/>
      <c r="W26" s="3"/>
      <c r="X26" s="3"/>
      <c r="Y26" s="3">
        <f>IFERROR(__xludf.DUMMYFUNCTION("""COMPUTED_VALUE"""),0.0)</f>
        <v>0</v>
      </c>
      <c r="Z26" s="3"/>
      <c r="AA26" s="3">
        <f>IFERROR(__xludf.DUMMYFUNCTION("""COMPUTED_VALUE"""),0.0)</f>
        <v>0</v>
      </c>
      <c r="AB26" s="3"/>
      <c r="AC26" s="3"/>
      <c r="AD26" s="3">
        <f>IFERROR(__xludf.DUMMYFUNCTION("""COMPUTED_VALUE"""),0.0)</f>
        <v>0</v>
      </c>
      <c r="AE26" s="3"/>
      <c r="AF26" s="3"/>
      <c r="AG26" s="3">
        <f>IFERROR(__xludf.DUMMYFUNCTION("""COMPUTED_VALUE"""),0.0)</f>
        <v>0</v>
      </c>
      <c r="AH26" s="3"/>
      <c r="AI26" s="3"/>
      <c r="AJ26" s="3"/>
      <c r="AK26" s="3"/>
      <c r="AL26" s="3"/>
      <c r="AM26" s="3">
        <f>IFERROR(__xludf.DUMMYFUNCTION("""COMPUTED_VALUE"""),0.0)</f>
        <v>0</v>
      </c>
      <c r="AN26" s="3"/>
      <c r="AO26" s="3">
        <f>IFERROR(__xludf.DUMMYFUNCTION("""COMPUTED_VALUE"""),0.0)</f>
        <v>0</v>
      </c>
      <c r="AP26" s="3"/>
      <c r="AQ26" s="3">
        <f>IFERROR(__xludf.DUMMYFUNCTION("""COMPUTED_VALUE"""),0.0)</f>
        <v>0</v>
      </c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</row>
    <row r="27">
      <c r="A27" s="2" t="str">
        <f>IFERROR(__xludf.DUMMYFUNCTION("""COMPUTED_VALUE"""),"24101195")</f>
        <v>24101195</v>
      </c>
      <c r="B27" s="3">
        <f>IFERROR(__xludf.DUMMYFUNCTION("""COMPUTED_VALUE"""),6.540880503144654)</f>
        <v>6.540880503</v>
      </c>
      <c r="C27" s="3">
        <f>IFERROR(__xludf.DUMMYFUNCTION("""COMPUTED_VALUE"""),3.3333333333333335)</f>
        <v>3.333333333</v>
      </c>
      <c r="D27" s="3">
        <f>IFERROR(__xludf.DUMMYFUNCTION("""COMPUTED_VALUE"""),3.2075471698113205)</f>
        <v>3.20754717</v>
      </c>
      <c r="E27" s="3">
        <f>IFERROR(__xludf.DUMMYFUNCTION("""COMPUTED_VALUE"""),0.0)</f>
        <v>0</v>
      </c>
      <c r="F27" s="3">
        <f>IFERROR(__xludf.DUMMYFUNCTION("""COMPUTED_VALUE"""),0.0)</f>
        <v>0</v>
      </c>
      <c r="G27" s="3">
        <f>IFERROR(__xludf.DUMMYFUNCTION("""COMPUTED_VALUE"""),0.0)</f>
        <v>0</v>
      </c>
      <c r="H27" s="3">
        <f>IFERROR(__xludf.DUMMYFUNCTION("""COMPUTED_VALUE"""),10.0)</f>
        <v>10</v>
      </c>
      <c r="I27" s="3">
        <f>IFERROR(__xludf.DUMMYFUNCTION("""COMPUTED_VALUE"""),0.0)</f>
        <v>0</v>
      </c>
      <c r="J27" s="3">
        <f>IFERROR(__xludf.DUMMYFUNCTION("""COMPUTED_VALUE"""),4.0)</f>
        <v>4</v>
      </c>
      <c r="K27" s="3">
        <f>IFERROR(__xludf.DUMMYFUNCTION("""COMPUTED_VALUE"""),5.0)</f>
        <v>5</v>
      </c>
      <c r="L27" s="3">
        <f>IFERROR(__xludf.DUMMYFUNCTION("""COMPUTED_VALUE"""),0.0)</f>
        <v>0</v>
      </c>
      <c r="M27" s="3">
        <f>IFERROR(__xludf.DUMMYFUNCTION("""COMPUTED_VALUE"""),4.0)</f>
        <v>4</v>
      </c>
      <c r="N27" s="3">
        <f>IFERROR(__xludf.DUMMYFUNCTION("""COMPUTED_VALUE"""),2.0)</f>
        <v>2</v>
      </c>
      <c r="O27" s="3">
        <f>IFERROR(__xludf.DUMMYFUNCTION("""COMPUTED_VALUE"""),7.0)</f>
        <v>7</v>
      </c>
      <c r="P27" s="3">
        <f>IFERROR(__xludf.DUMMYFUNCTION("""COMPUTED_VALUE"""),6.0)</f>
        <v>6</v>
      </c>
      <c r="Q27" s="3">
        <f>IFERROR(__xludf.DUMMYFUNCTION("""COMPUTED_VALUE"""),6.0)</f>
        <v>6</v>
      </c>
      <c r="R27" s="3">
        <f>IFERROR(__xludf.DUMMYFUNCTION("""COMPUTED_VALUE"""),0.0)</f>
        <v>0</v>
      </c>
      <c r="S27" s="3">
        <f>IFERROR(__xludf.DUMMYFUNCTION("""COMPUTED_VALUE"""),0.0)</f>
        <v>0</v>
      </c>
      <c r="T27" s="3"/>
      <c r="U27" s="3"/>
      <c r="V27" s="3"/>
      <c r="W27" s="3"/>
      <c r="X27" s="3"/>
      <c r="Y27" s="3">
        <f>IFERROR(__xludf.DUMMYFUNCTION("""COMPUTED_VALUE"""),0.0)</f>
        <v>0</v>
      </c>
      <c r="Z27" s="3"/>
      <c r="AA27" s="3">
        <f>IFERROR(__xludf.DUMMYFUNCTION("""COMPUTED_VALUE"""),0.0)</f>
        <v>0</v>
      </c>
      <c r="AB27" s="3"/>
      <c r="AC27" s="3"/>
      <c r="AD27" s="3"/>
      <c r="AE27" s="3"/>
      <c r="AF27" s="3"/>
      <c r="AG27" s="3">
        <f>IFERROR(__xludf.DUMMYFUNCTION("""COMPUTED_VALUE"""),0.0)</f>
        <v>0</v>
      </c>
      <c r="AH27" s="3"/>
      <c r="AI27" s="3"/>
      <c r="AJ27" s="3"/>
      <c r="AK27" s="3"/>
      <c r="AL27" s="3"/>
      <c r="AM27" s="3">
        <f>IFERROR(__xludf.DUMMYFUNCTION("""COMPUTED_VALUE"""),1.0)</f>
        <v>1</v>
      </c>
      <c r="AN27" s="3"/>
      <c r="AO27" s="3">
        <f>IFERROR(__xludf.DUMMYFUNCTION("""COMPUTED_VALUE"""),0.0)</f>
        <v>0</v>
      </c>
      <c r="AP27" s="3"/>
      <c r="AQ27" s="3">
        <f>IFERROR(__xludf.DUMMYFUNCTION("""COMPUTED_VALUE"""),0.0)</f>
        <v>0</v>
      </c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</row>
    <row r="28">
      <c r="A28" s="2" t="str">
        <f>IFERROR(__xludf.DUMMYFUNCTION("""COMPUTED_VALUE"""),"24101361")</f>
        <v>24101361</v>
      </c>
      <c r="B28" s="3">
        <f>IFERROR(__xludf.DUMMYFUNCTION("""COMPUTED_VALUE"""),4.811320754716981)</f>
        <v>4.811320755</v>
      </c>
      <c r="C28" s="3">
        <f>IFERROR(__xludf.DUMMYFUNCTION("""COMPUTED_VALUE"""),0.0)</f>
        <v>0</v>
      </c>
      <c r="D28" s="3">
        <f>IFERROR(__xludf.DUMMYFUNCTION("""COMPUTED_VALUE"""),4.811320754716981)</f>
        <v>4.811320755</v>
      </c>
      <c r="E28" s="3">
        <f>IFERROR(__xludf.DUMMYFUNCTION("""COMPUTED_VALUE"""),0.0)</f>
        <v>0</v>
      </c>
      <c r="F28" s="3">
        <f>IFERROR(__xludf.DUMMYFUNCTION("""COMPUTED_VALUE"""),0.0)</f>
        <v>0</v>
      </c>
      <c r="G28" s="3">
        <f>IFERROR(__xludf.DUMMYFUNCTION("""COMPUTED_VALUE"""),0.0)</f>
        <v>0</v>
      </c>
      <c r="H28" s="3">
        <f>IFERROR(__xludf.DUMMYFUNCTION("""COMPUTED_VALUE"""),0.0)</f>
        <v>0</v>
      </c>
      <c r="I28" s="3">
        <f>IFERROR(__xludf.DUMMYFUNCTION("""COMPUTED_VALUE"""),0.0)</f>
        <v>0</v>
      </c>
      <c r="J28" s="3">
        <f>IFERROR(__xludf.DUMMYFUNCTION("""COMPUTED_VALUE"""),8.0)</f>
        <v>8</v>
      </c>
      <c r="K28" s="3">
        <f>IFERROR(__xludf.DUMMYFUNCTION("""COMPUTED_VALUE"""),8.0)</f>
        <v>8</v>
      </c>
      <c r="L28" s="3">
        <f>IFERROR(__xludf.DUMMYFUNCTION("""COMPUTED_VALUE"""),8.0)</f>
        <v>8</v>
      </c>
      <c r="M28" s="3">
        <f>IFERROR(__xludf.DUMMYFUNCTION("""COMPUTED_VALUE"""),7.0)</f>
        <v>7</v>
      </c>
      <c r="N28" s="3">
        <f>IFERROR(__xludf.DUMMYFUNCTION("""COMPUTED_VALUE"""),6.0)</f>
        <v>6</v>
      </c>
      <c r="O28" s="3">
        <f>IFERROR(__xludf.DUMMYFUNCTION("""COMPUTED_VALUE"""),8.0)</f>
        <v>8</v>
      </c>
      <c r="P28" s="3">
        <f>IFERROR(__xludf.DUMMYFUNCTION("""COMPUTED_VALUE"""),6.0)</f>
        <v>6</v>
      </c>
      <c r="Q28" s="3">
        <f>IFERROR(__xludf.DUMMYFUNCTION("""COMPUTED_VALUE"""),0.0)</f>
        <v>0</v>
      </c>
      <c r="R28" s="3">
        <f>IFERROR(__xludf.DUMMYFUNCTION("""COMPUTED_VALUE"""),0.0)</f>
        <v>0</v>
      </c>
      <c r="S28" s="3">
        <f>IFERROR(__xludf.DUMMYFUNCTION("""COMPUTED_VALUE"""),0.0)</f>
        <v>0</v>
      </c>
      <c r="T28" s="3"/>
      <c r="U28" s="3"/>
      <c r="V28" s="3"/>
      <c r="W28" s="3"/>
      <c r="X28" s="3"/>
      <c r="Y28" s="3">
        <f>IFERROR(__xludf.DUMMYFUNCTION("""COMPUTED_VALUE"""),0.0)</f>
        <v>0</v>
      </c>
      <c r="Z28" s="3"/>
      <c r="AA28" s="3">
        <f>IFERROR(__xludf.DUMMYFUNCTION("""COMPUTED_VALUE"""),0.0)</f>
        <v>0</v>
      </c>
      <c r="AB28" s="3"/>
      <c r="AC28" s="3"/>
      <c r="AD28" s="3">
        <f>IFERROR(__xludf.DUMMYFUNCTION("""COMPUTED_VALUE"""),0.0)</f>
        <v>0</v>
      </c>
      <c r="AE28" s="3"/>
      <c r="AF28" s="3"/>
      <c r="AG28" s="3">
        <f>IFERROR(__xludf.DUMMYFUNCTION("""COMPUTED_VALUE"""),0.0)</f>
        <v>0</v>
      </c>
      <c r="AH28" s="3"/>
      <c r="AI28" s="3"/>
      <c r="AJ28" s="3"/>
      <c r="AK28" s="3"/>
      <c r="AL28" s="3"/>
      <c r="AM28" s="3">
        <f>IFERROR(__xludf.DUMMYFUNCTION("""COMPUTED_VALUE"""),0.0)</f>
        <v>0</v>
      </c>
      <c r="AN28" s="3"/>
      <c r="AO28" s="3">
        <f>IFERROR(__xludf.DUMMYFUNCTION("""COMPUTED_VALUE"""),0.0)</f>
        <v>0</v>
      </c>
      <c r="AP28" s="3"/>
      <c r="AQ28" s="3">
        <f>IFERROR(__xludf.DUMMYFUNCTION("""COMPUTED_VALUE"""),0.0)</f>
        <v>0</v>
      </c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</row>
    <row r="29">
      <c r="A29" s="2" t="str">
        <f>IFERROR(__xludf.DUMMYFUNCTION("""COMPUTED_VALUE"""),"24101486")</f>
        <v>24101486</v>
      </c>
      <c r="B29" s="3">
        <f>IFERROR(__xludf.DUMMYFUNCTION("""COMPUTED_VALUE"""),4.339622641509434)</f>
        <v>4.339622642</v>
      </c>
      <c r="C29" s="3">
        <f>IFERROR(__xludf.DUMMYFUNCTION("""COMPUTED_VALUE"""),0.0)</f>
        <v>0</v>
      </c>
      <c r="D29" s="3">
        <f>IFERROR(__xludf.DUMMYFUNCTION("""COMPUTED_VALUE"""),4.339622641509434)</f>
        <v>4.339622642</v>
      </c>
      <c r="E29" s="3">
        <f>IFERROR(__xludf.DUMMYFUNCTION("""COMPUTED_VALUE"""),0.0)</f>
        <v>0</v>
      </c>
      <c r="F29" s="3">
        <f>IFERROR(__xludf.DUMMYFUNCTION("""COMPUTED_VALUE"""),0.0)</f>
        <v>0</v>
      </c>
      <c r="G29" s="3">
        <f>IFERROR(__xludf.DUMMYFUNCTION("""COMPUTED_VALUE"""),0.0)</f>
        <v>0</v>
      </c>
      <c r="H29" s="3">
        <f>IFERROR(__xludf.DUMMYFUNCTION("""COMPUTED_VALUE"""),0.0)</f>
        <v>0</v>
      </c>
      <c r="I29" s="3">
        <f>IFERROR(__xludf.DUMMYFUNCTION("""COMPUTED_VALUE"""),0.0)</f>
        <v>0</v>
      </c>
      <c r="J29" s="3">
        <f>IFERROR(__xludf.DUMMYFUNCTION("""COMPUTED_VALUE"""),8.0)</f>
        <v>8</v>
      </c>
      <c r="K29" s="3">
        <f>IFERROR(__xludf.DUMMYFUNCTION("""COMPUTED_VALUE"""),8.0)</f>
        <v>8</v>
      </c>
      <c r="L29" s="3">
        <f>IFERROR(__xludf.DUMMYFUNCTION("""COMPUTED_VALUE"""),8.0)</f>
        <v>8</v>
      </c>
      <c r="M29" s="3">
        <f>IFERROR(__xludf.DUMMYFUNCTION("""COMPUTED_VALUE"""),8.0)</f>
        <v>8</v>
      </c>
      <c r="N29" s="3">
        <f>IFERROR(__xludf.DUMMYFUNCTION("""COMPUTED_VALUE"""),8.0)</f>
        <v>8</v>
      </c>
      <c r="O29" s="3">
        <f>IFERROR(__xludf.DUMMYFUNCTION("""COMPUTED_VALUE"""),6.0)</f>
        <v>6</v>
      </c>
      <c r="P29" s="3">
        <f>IFERROR(__xludf.DUMMYFUNCTION("""COMPUTED_VALUE"""),0.0)</f>
        <v>0</v>
      </c>
      <c r="Q29" s="3">
        <f>IFERROR(__xludf.DUMMYFUNCTION("""COMPUTED_VALUE"""),0.0)</f>
        <v>0</v>
      </c>
      <c r="R29" s="3">
        <f>IFERROR(__xludf.DUMMYFUNCTION("""COMPUTED_VALUE"""),0.0)</f>
        <v>0</v>
      </c>
      <c r="S29" s="3">
        <f>IFERROR(__xludf.DUMMYFUNCTION("""COMPUTED_VALUE"""),0.0)</f>
        <v>0</v>
      </c>
      <c r="T29" s="3"/>
      <c r="U29" s="3"/>
      <c r="V29" s="3"/>
      <c r="W29" s="3"/>
      <c r="X29" s="3"/>
      <c r="Y29" s="3">
        <f>IFERROR(__xludf.DUMMYFUNCTION("""COMPUTED_VALUE"""),0.0)</f>
        <v>0</v>
      </c>
      <c r="Z29" s="3"/>
      <c r="AA29" s="3">
        <f>IFERROR(__xludf.DUMMYFUNCTION("""COMPUTED_VALUE"""),0.0)</f>
        <v>0</v>
      </c>
      <c r="AB29" s="3"/>
      <c r="AC29" s="3"/>
      <c r="AD29" s="3">
        <f>IFERROR(__xludf.DUMMYFUNCTION("""COMPUTED_VALUE"""),0.0)</f>
        <v>0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</row>
    <row r="30">
      <c r="A30" s="2" t="str">
        <f>IFERROR(__xludf.DUMMYFUNCTION("""COMPUTED_VALUE"""),"24101669")</f>
        <v>24101669</v>
      </c>
      <c r="B30" s="3">
        <f>IFERROR(__xludf.DUMMYFUNCTION("""COMPUTED_VALUE"""),15.666666666666666)</f>
        <v>15.66666667</v>
      </c>
      <c r="C30" s="3">
        <f>IFERROR(__xludf.DUMMYFUNCTION("""COMPUTED_VALUE"""),10.666666666666666)</f>
        <v>10.66666667</v>
      </c>
      <c r="D30" s="3">
        <f>IFERROR(__xludf.DUMMYFUNCTION("""COMPUTED_VALUE"""),5.0)</f>
        <v>5</v>
      </c>
      <c r="E30" s="3">
        <f>IFERROR(__xludf.DUMMYFUNCTION("""COMPUTED_VALUE"""),10.0)</f>
        <v>10</v>
      </c>
      <c r="F30" s="3">
        <f>IFERROR(__xludf.DUMMYFUNCTION("""COMPUTED_VALUE"""),12.0)</f>
        <v>12</v>
      </c>
      <c r="G30" s="3">
        <f>IFERROR(__xludf.DUMMYFUNCTION("""COMPUTED_VALUE"""),0.0)</f>
        <v>0</v>
      </c>
      <c r="H30" s="3">
        <f>IFERROR(__xludf.DUMMYFUNCTION("""COMPUTED_VALUE"""),10.0)</f>
        <v>10</v>
      </c>
      <c r="I30" s="3">
        <f>IFERROR(__xludf.DUMMYFUNCTION("""COMPUTED_VALUE"""),0.0)</f>
        <v>0</v>
      </c>
      <c r="J30" s="3">
        <f>IFERROR(__xludf.DUMMYFUNCTION("""COMPUTED_VALUE"""),8.0)</f>
        <v>8</v>
      </c>
      <c r="K30" s="3">
        <f>IFERROR(__xludf.DUMMYFUNCTION("""COMPUTED_VALUE"""),8.0)</f>
        <v>8</v>
      </c>
      <c r="L30" s="3">
        <f>IFERROR(__xludf.DUMMYFUNCTION("""COMPUTED_VALUE"""),8.0)</f>
        <v>8</v>
      </c>
      <c r="M30" s="3">
        <f>IFERROR(__xludf.DUMMYFUNCTION("""COMPUTED_VALUE"""),8.0)</f>
        <v>8</v>
      </c>
      <c r="N30" s="3">
        <f>IFERROR(__xludf.DUMMYFUNCTION("""COMPUTED_VALUE"""),8.0)</f>
        <v>8</v>
      </c>
      <c r="O30" s="3">
        <f>IFERROR(__xludf.DUMMYFUNCTION("""COMPUTED_VALUE"""),8.0)</f>
        <v>8</v>
      </c>
      <c r="P30" s="3">
        <f>IFERROR(__xludf.DUMMYFUNCTION("""COMPUTED_VALUE"""),6.0)</f>
        <v>6</v>
      </c>
      <c r="Q30" s="3">
        <f>IFERROR(__xludf.DUMMYFUNCTION("""COMPUTED_VALUE"""),1.0)</f>
        <v>1</v>
      </c>
      <c r="R30" s="3">
        <f>IFERROR(__xludf.DUMMYFUNCTION("""COMPUTED_VALUE"""),1.0)</f>
        <v>1</v>
      </c>
      <c r="S30" s="3">
        <f>IFERROR(__xludf.DUMMYFUNCTION("""COMPUTED_VALUE"""),0.0)</f>
        <v>0</v>
      </c>
      <c r="T30" s="3"/>
      <c r="U30" s="3"/>
      <c r="V30" s="3"/>
      <c r="W30" s="3"/>
      <c r="X30" s="3"/>
      <c r="Y30" s="3">
        <f>IFERROR(__xludf.DUMMYFUNCTION("""COMPUTED_VALUE"""),0.2)</f>
        <v>0.2</v>
      </c>
      <c r="Z30" s="3"/>
      <c r="AA30" s="3">
        <f>IFERROR(__xludf.DUMMYFUNCTION("""COMPUTED_VALUE"""),1.0)</f>
        <v>1</v>
      </c>
      <c r="AB30" s="3"/>
      <c r="AC30" s="3"/>
      <c r="AD30" s="3">
        <f>IFERROR(__xludf.DUMMYFUNCTION("""COMPUTED_VALUE"""),0.0)</f>
        <v>0</v>
      </c>
      <c r="AE30" s="3"/>
      <c r="AF30" s="3"/>
      <c r="AG30" s="3">
        <f>IFERROR(__xludf.DUMMYFUNCTION("""COMPUTED_VALUE"""),0.0)</f>
        <v>0</v>
      </c>
      <c r="AH30" s="3"/>
      <c r="AI30" s="3"/>
      <c r="AJ30" s="3"/>
      <c r="AK30" s="3"/>
      <c r="AL30" s="3"/>
      <c r="AM30" s="3">
        <f>IFERROR(__xludf.DUMMYFUNCTION("""COMPUTED_VALUE"""),1.0)</f>
        <v>1</v>
      </c>
      <c r="AN30" s="3"/>
      <c r="AO30" s="3">
        <f>IFERROR(__xludf.DUMMYFUNCTION("""COMPUTED_VALUE"""),0.0)</f>
        <v>0</v>
      </c>
      <c r="AP30" s="3"/>
      <c r="AQ30" s="3">
        <f>IFERROR(__xludf.DUMMYFUNCTION("""COMPUTED_VALUE"""),0.0)</f>
        <v>0</v>
      </c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</row>
    <row r="31">
      <c r="A31" s="2" t="str">
        <f>IFERROR(__xludf.DUMMYFUNCTION("""COMPUTED_VALUE"""),"24121041")</f>
        <v>24121041</v>
      </c>
      <c r="B31" s="3">
        <f>IFERROR(__xludf.DUMMYFUNCTION("""COMPUTED_VALUE"""),5.0)</f>
        <v>5</v>
      </c>
      <c r="C31" s="3">
        <f>IFERROR(__xludf.DUMMYFUNCTION("""COMPUTED_VALUE"""),0.0)</f>
        <v>0</v>
      </c>
      <c r="D31" s="3">
        <f>IFERROR(__xludf.DUMMYFUNCTION("""COMPUTED_VALUE"""),5.0)</f>
        <v>5</v>
      </c>
      <c r="E31" s="3">
        <f>IFERROR(__xludf.DUMMYFUNCTION("""COMPUTED_VALUE"""),0.0)</f>
        <v>0</v>
      </c>
      <c r="F31" s="3">
        <f>IFERROR(__xludf.DUMMYFUNCTION("""COMPUTED_VALUE"""),0.0)</f>
        <v>0</v>
      </c>
      <c r="G31" s="3">
        <f>IFERROR(__xludf.DUMMYFUNCTION("""COMPUTED_VALUE"""),0.0)</f>
        <v>0</v>
      </c>
      <c r="H31" s="3">
        <f>IFERROR(__xludf.DUMMYFUNCTION("""COMPUTED_VALUE"""),0.0)</f>
        <v>0</v>
      </c>
      <c r="I31" s="3">
        <f>IFERROR(__xludf.DUMMYFUNCTION("""COMPUTED_VALUE"""),0.0)</f>
        <v>0</v>
      </c>
      <c r="J31" s="3">
        <f>IFERROR(__xludf.DUMMYFUNCTION("""COMPUTED_VALUE"""),8.0)</f>
        <v>8</v>
      </c>
      <c r="K31" s="3">
        <f>IFERROR(__xludf.DUMMYFUNCTION("""COMPUTED_VALUE"""),8.0)</f>
        <v>8</v>
      </c>
      <c r="L31" s="3">
        <f>IFERROR(__xludf.DUMMYFUNCTION("""COMPUTED_VALUE"""),8.0)</f>
        <v>8</v>
      </c>
      <c r="M31" s="3">
        <f>IFERROR(__xludf.DUMMYFUNCTION("""COMPUTED_VALUE"""),8.0)</f>
        <v>8</v>
      </c>
      <c r="N31" s="3">
        <f>IFERROR(__xludf.DUMMYFUNCTION("""COMPUTED_VALUE"""),8.0)</f>
        <v>8</v>
      </c>
      <c r="O31" s="3">
        <f>IFERROR(__xludf.DUMMYFUNCTION("""COMPUTED_VALUE"""),8.0)</f>
        <v>8</v>
      </c>
      <c r="P31" s="3">
        <f>IFERROR(__xludf.DUMMYFUNCTION("""COMPUTED_VALUE"""),4.0)</f>
        <v>4</v>
      </c>
      <c r="Q31" s="3">
        <f>IFERROR(__xludf.DUMMYFUNCTION("""COMPUTED_VALUE"""),7.0)</f>
        <v>7</v>
      </c>
      <c r="R31" s="3">
        <f>IFERROR(__xludf.DUMMYFUNCTION("""COMPUTED_VALUE"""),0.0)</f>
        <v>0</v>
      </c>
      <c r="S31" s="3">
        <f>IFERROR(__xludf.DUMMYFUNCTION("""COMPUTED_VALUE"""),0.0)</f>
        <v>0</v>
      </c>
      <c r="T31" s="3"/>
      <c r="U31" s="3"/>
      <c r="V31" s="3"/>
      <c r="W31" s="3"/>
      <c r="X31" s="3"/>
      <c r="Y31" s="3">
        <f>IFERROR(__xludf.DUMMYFUNCTION("""COMPUTED_VALUE"""),0.0)</f>
        <v>0</v>
      </c>
      <c r="Z31" s="3"/>
      <c r="AA31" s="3">
        <f>IFERROR(__xludf.DUMMYFUNCTION("""COMPUTED_VALUE"""),0.0)</f>
        <v>0</v>
      </c>
      <c r="AB31" s="3"/>
      <c r="AC31" s="3"/>
      <c r="AD31" s="3">
        <f>IFERROR(__xludf.DUMMYFUNCTION("""COMPUTED_VALUE"""),0.0)</f>
        <v>0</v>
      </c>
      <c r="AE31" s="3"/>
      <c r="AF31" s="3"/>
      <c r="AG31" s="3">
        <f>IFERROR(__xludf.DUMMYFUNCTION("""COMPUTED_VALUE"""),0.0)</f>
        <v>0</v>
      </c>
      <c r="AH31" s="3"/>
      <c r="AI31" s="3"/>
      <c r="AJ31" s="3"/>
      <c r="AK31" s="3"/>
      <c r="AL31" s="3"/>
      <c r="AM31" s="3">
        <f>IFERROR(__xludf.DUMMYFUNCTION("""COMPUTED_VALUE"""),0.0)</f>
        <v>0</v>
      </c>
      <c r="AN31" s="3"/>
      <c r="AO31" s="3">
        <f>IFERROR(__xludf.DUMMYFUNCTION("""COMPUTED_VALUE"""),0.0)</f>
        <v>0</v>
      </c>
      <c r="AP31" s="3"/>
      <c r="AQ31" s="3">
        <f>IFERROR(__xludf.DUMMYFUNCTION("""COMPUTED_VALUE"""),0.0)</f>
        <v>0</v>
      </c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</row>
    <row r="32">
      <c r="A32" s="2" t="str">
        <f>IFERROR(__xludf.DUMMYFUNCTION("""COMPUTED_VALUE"""),"24121085")</f>
        <v>24121085</v>
      </c>
      <c r="B32" s="3">
        <f>IFERROR(__xludf.DUMMYFUNCTION("""COMPUTED_VALUE"""),8.333333333333334)</f>
        <v>8.333333333</v>
      </c>
      <c r="C32" s="3">
        <f>IFERROR(__xludf.DUMMYFUNCTION("""COMPUTED_VALUE"""),3.3333333333333335)</f>
        <v>3.333333333</v>
      </c>
      <c r="D32" s="3">
        <f>IFERROR(__xludf.DUMMYFUNCTION("""COMPUTED_VALUE"""),5.0)</f>
        <v>5</v>
      </c>
      <c r="E32" s="3">
        <f>IFERROR(__xludf.DUMMYFUNCTION("""COMPUTED_VALUE"""),0.0)</f>
        <v>0</v>
      </c>
      <c r="F32" s="3">
        <f>IFERROR(__xludf.DUMMYFUNCTION("""COMPUTED_VALUE"""),10.0)</f>
        <v>10</v>
      </c>
      <c r="G32" s="3">
        <f>IFERROR(__xludf.DUMMYFUNCTION("""COMPUTED_VALUE"""),0.0)</f>
        <v>0</v>
      </c>
      <c r="H32" s="3">
        <f>IFERROR(__xludf.DUMMYFUNCTION("""COMPUTED_VALUE"""),0.0)</f>
        <v>0</v>
      </c>
      <c r="I32" s="3">
        <f>IFERROR(__xludf.DUMMYFUNCTION("""COMPUTED_VALUE"""),0.0)</f>
        <v>0</v>
      </c>
      <c r="J32" s="3">
        <f>IFERROR(__xludf.DUMMYFUNCTION("""COMPUTED_VALUE"""),6.0)</f>
        <v>6</v>
      </c>
      <c r="K32" s="3">
        <f>IFERROR(__xludf.DUMMYFUNCTION("""COMPUTED_VALUE"""),8.0)</f>
        <v>8</v>
      </c>
      <c r="L32" s="3">
        <f>IFERROR(__xludf.DUMMYFUNCTION("""COMPUTED_VALUE"""),7.0)</f>
        <v>7</v>
      </c>
      <c r="M32" s="3">
        <f>IFERROR(__xludf.DUMMYFUNCTION("""COMPUTED_VALUE"""),8.0)</f>
        <v>8</v>
      </c>
      <c r="N32" s="3">
        <f>IFERROR(__xludf.DUMMYFUNCTION("""COMPUTED_VALUE"""),7.0)</f>
        <v>7</v>
      </c>
      <c r="O32" s="3">
        <f>IFERROR(__xludf.DUMMYFUNCTION("""COMPUTED_VALUE"""),7.0)</f>
        <v>7</v>
      </c>
      <c r="P32" s="3">
        <f>IFERROR(__xludf.DUMMYFUNCTION("""COMPUTED_VALUE"""),6.0)</f>
        <v>6</v>
      </c>
      <c r="Q32" s="3">
        <f>IFERROR(__xludf.DUMMYFUNCTION("""COMPUTED_VALUE"""),7.0)</f>
        <v>7</v>
      </c>
      <c r="R32" s="3">
        <f>IFERROR(__xludf.DUMMYFUNCTION("""COMPUTED_VALUE"""),0.0)</f>
        <v>0</v>
      </c>
      <c r="S32" s="3">
        <f>IFERROR(__xludf.DUMMYFUNCTION("""COMPUTED_VALUE"""),0.0)</f>
        <v>0</v>
      </c>
      <c r="T32" s="3"/>
      <c r="U32" s="3"/>
      <c r="V32" s="3"/>
      <c r="W32" s="3"/>
      <c r="X32" s="3"/>
      <c r="Y32" s="3">
        <f>IFERROR(__xludf.DUMMYFUNCTION("""COMPUTED_VALUE"""),0.0)</f>
        <v>0</v>
      </c>
      <c r="Z32" s="3"/>
      <c r="AA32" s="3">
        <f>IFERROR(__xludf.DUMMYFUNCTION("""COMPUTED_VALUE"""),1.0)</f>
        <v>1</v>
      </c>
      <c r="AB32" s="3"/>
      <c r="AC32" s="3"/>
      <c r="AD32" s="3">
        <f>IFERROR(__xludf.DUMMYFUNCTION("""COMPUTED_VALUE"""),0.0)</f>
        <v>0</v>
      </c>
      <c r="AE32" s="3"/>
      <c r="AF32" s="3"/>
      <c r="AG32" s="3">
        <f>IFERROR(__xludf.DUMMYFUNCTION("""COMPUTED_VALUE"""),0.0)</f>
        <v>0</v>
      </c>
      <c r="AH32" s="3"/>
      <c r="AI32" s="3"/>
      <c r="AJ32" s="3"/>
      <c r="AK32" s="3"/>
      <c r="AL32" s="3"/>
      <c r="AM32" s="3">
        <f>IFERROR(__xludf.DUMMYFUNCTION("""COMPUTED_VALUE"""),0.0)</f>
        <v>0</v>
      </c>
      <c r="AN32" s="3"/>
      <c r="AO32" s="3">
        <f>IFERROR(__xludf.DUMMYFUNCTION("""COMPUTED_VALUE"""),0.0)</f>
        <v>0</v>
      </c>
      <c r="AP32" s="3"/>
      <c r="AQ32" s="3">
        <f>IFERROR(__xludf.DUMMYFUNCTION("""COMPUTED_VALUE"""),0.0)</f>
        <v>0</v>
      </c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</row>
    <row r="33">
      <c r="A33" s="2" t="str">
        <f>IFERROR(__xludf.DUMMYFUNCTION("""COMPUTED_VALUE"""),"24141054")</f>
        <v>24141054</v>
      </c>
      <c r="B33" s="3">
        <f>IFERROR(__xludf.DUMMYFUNCTION("""COMPUTED_VALUE"""),5.333333333333333)</f>
        <v>5.333333333</v>
      </c>
      <c r="C33" s="3">
        <f>IFERROR(__xludf.DUMMYFUNCTION("""COMPUTED_VALUE"""),0.3333333333333333)</f>
        <v>0.3333333333</v>
      </c>
      <c r="D33" s="3">
        <f>IFERROR(__xludf.DUMMYFUNCTION("""COMPUTED_VALUE"""),5.0)</f>
        <v>5</v>
      </c>
      <c r="E33" s="3">
        <f>IFERROR(__xludf.DUMMYFUNCTION("""COMPUTED_VALUE"""),1.0)</f>
        <v>1</v>
      </c>
      <c r="F33" s="3">
        <f>IFERROR(__xludf.DUMMYFUNCTION("""COMPUTED_VALUE"""),0.0)</f>
        <v>0</v>
      </c>
      <c r="G33" s="3">
        <f>IFERROR(__xludf.DUMMYFUNCTION("""COMPUTED_VALUE"""),0.0)</f>
        <v>0</v>
      </c>
      <c r="H33" s="3">
        <f>IFERROR(__xludf.DUMMYFUNCTION("""COMPUTED_VALUE"""),0.0)</f>
        <v>0</v>
      </c>
      <c r="I33" s="3">
        <f>IFERROR(__xludf.DUMMYFUNCTION("""COMPUTED_VALUE"""),0.0)</f>
        <v>0</v>
      </c>
      <c r="J33" s="3">
        <f>IFERROR(__xludf.DUMMYFUNCTION("""COMPUTED_VALUE"""),7.0)</f>
        <v>7</v>
      </c>
      <c r="K33" s="3">
        <f>IFERROR(__xludf.DUMMYFUNCTION("""COMPUTED_VALUE"""),8.0)</f>
        <v>8</v>
      </c>
      <c r="L33" s="3">
        <f>IFERROR(__xludf.DUMMYFUNCTION("""COMPUTED_VALUE"""),7.0)</f>
        <v>7</v>
      </c>
      <c r="M33" s="3">
        <f>IFERROR(__xludf.DUMMYFUNCTION("""COMPUTED_VALUE"""),3.0)</f>
        <v>3</v>
      </c>
      <c r="N33" s="3">
        <f>IFERROR(__xludf.DUMMYFUNCTION("""COMPUTED_VALUE"""),8.0)</f>
        <v>8</v>
      </c>
      <c r="O33" s="3">
        <f>IFERROR(__xludf.DUMMYFUNCTION("""COMPUTED_VALUE"""),8.0)</f>
        <v>8</v>
      </c>
      <c r="P33" s="3">
        <f>IFERROR(__xludf.DUMMYFUNCTION("""COMPUTED_VALUE"""),6.0)</f>
        <v>6</v>
      </c>
      <c r="Q33" s="3">
        <f>IFERROR(__xludf.DUMMYFUNCTION("""COMPUTED_VALUE"""),7.0)</f>
        <v>7</v>
      </c>
      <c r="R33" s="3">
        <f>IFERROR(__xludf.DUMMYFUNCTION("""COMPUTED_VALUE"""),0.0)</f>
        <v>0</v>
      </c>
      <c r="S33" s="3">
        <f>IFERROR(__xludf.DUMMYFUNCTION("""COMPUTED_VALUE"""),0.1)</f>
        <v>0.1</v>
      </c>
      <c r="T33" s="3"/>
      <c r="U33" s="3"/>
      <c r="V33" s="3"/>
      <c r="W33" s="3"/>
      <c r="X33" s="3"/>
      <c r="Y33" s="3">
        <f>IFERROR(__xludf.DUMMYFUNCTION("""COMPUTED_VALUE"""),0.0)</f>
        <v>0</v>
      </c>
      <c r="Z33" s="3"/>
      <c r="AA33" s="3">
        <f>IFERROR(__xludf.DUMMYFUNCTION("""COMPUTED_VALUE"""),0.0)</f>
        <v>0</v>
      </c>
      <c r="AB33" s="3"/>
      <c r="AC33" s="3"/>
      <c r="AD33" s="3">
        <f>IFERROR(__xludf.DUMMYFUNCTION("""COMPUTED_VALUE"""),0.0)</f>
        <v>0</v>
      </c>
      <c r="AE33" s="3"/>
      <c r="AF33" s="3"/>
      <c r="AG33" s="3">
        <f>IFERROR(__xludf.DUMMYFUNCTION("""COMPUTED_VALUE"""),0.0)</f>
        <v>0</v>
      </c>
      <c r="AH33" s="3"/>
      <c r="AI33" s="3"/>
      <c r="AJ33" s="3"/>
      <c r="AK33" s="3"/>
      <c r="AL33" s="3"/>
      <c r="AM33" s="3">
        <f>IFERROR(__xludf.DUMMYFUNCTION("""COMPUTED_VALUE"""),0.0)</f>
        <v>0</v>
      </c>
      <c r="AN33" s="3"/>
      <c r="AO33" s="3">
        <f>IFERROR(__xludf.DUMMYFUNCTION("""COMPUTED_VALUE"""),0.0)</f>
        <v>0</v>
      </c>
      <c r="AP33" s="3"/>
      <c r="AQ33" s="3">
        <f>IFERROR(__xludf.DUMMYFUNCTION("""COMPUTED_VALUE"""),0.0)</f>
        <v>0</v>
      </c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</row>
    <row r="34">
      <c r="A34" s="2" t="str">
        <f>IFERROR(__xludf.DUMMYFUNCTION("""COMPUTED_VALUE"""),"24241014")</f>
        <v>24241014</v>
      </c>
      <c r="B34" s="3">
        <f>IFERROR(__xludf.DUMMYFUNCTION("""COMPUTED_VALUE"""),4.90566037735849)</f>
        <v>4.905660377</v>
      </c>
      <c r="C34" s="3">
        <f>IFERROR(__xludf.DUMMYFUNCTION("""COMPUTED_VALUE"""),0.0)</f>
        <v>0</v>
      </c>
      <c r="D34" s="3">
        <f>IFERROR(__xludf.DUMMYFUNCTION("""COMPUTED_VALUE"""),4.90566037735849)</f>
        <v>4.905660377</v>
      </c>
      <c r="E34" s="3">
        <f>IFERROR(__xludf.DUMMYFUNCTION("""COMPUTED_VALUE"""),0.0)</f>
        <v>0</v>
      </c>
      <c r="F34" s="3">
        <f>IFERROR(__xludf.DUMMYFUNCTION("""COMPUTED_VALUE"""),0.0)</f>
        <v>0</v>
      </c>
      <c r="G34" s="3">
        <f>IFERROR(__xludf.DUMMYFUNCTION("""COMPUTED_VALUE"""),0.0)</f>
        <v>0</v>
      </c>
      <c r="H34" s="3">
        <f>IFERROR(__xludf.DUMMYFUNCTION("""COMPUTED_VALUE"""),0.0)</f>
        <v>0</v>
      </c>
      <c r="I34" s="3">
        <f>IFERROR(__xludf.DUMMYFUNCTION("""COMPUTED_VALUE"""),0.0)</f>
        <v>0</v>
      </c>
      <c r="J34" s="3">
        <f>IFERROR(__xludf.DUMMYFUNCTION("""COMPUTED_VALUE"""),8.0)</f>
        <v>8</v>
      </c>
      <c r="K34" s="3">
        <f>IFERROR(__xludf.DUMMYFUNCTION("""COMPUTED_VALUE"""),8.0)</f>
        <v>8</v>
      </c>
      <c r="L34" s="3">
        <f>IFERROR(__xludf.DUMMYFUNCTION("""COMPUTED_VALUE"""),6.0)</f>
        <v>6</v>
      </c>
      <c r="M34" s="3">
        <f>IFERROR(__xludf.DUMMYFUNCTION("""COMPUTED_VALUE"""),6.0)</f>
        <v>6</v>
      </c>
      <c r="N34" s="3">
        <f>IFERROR(__xludf.DUMMYFUNCTION("""COMPUTED_VALUE"""),8.0)</f>
        <v>8</v>
      </c>
      <c r="O34" s="3">
        <f>IFERROR(__xludf.DUMMYFUNCTION("""COMPUTED_VALUE"""),6.0)</f>
        <v>6</v>
      </c>
      <c r="P34" s="3">
        <f>IFERROR(__xludf.DUMMYFUNCTION("""COMPUTED_VALUE"""),6.0)</f>
        <v>6</v>
      </c>
      <c r="Q34" s="3">
        <f>IFERROR(__xludf.DUMMYFUNCTION("""COMPUTED_VALUE"""),4.0)</f>
        <v>4</v>
      </c>
      <c r="R34" s="3">
        <f>IFERROR(__xludf.DUMMYFUNCTION("""COMPUTED_VALUE"""),0.0)</f>
        <v>0</v>
      </c>
      <c r="S34" s="3">
        <f>IFERROR(__xludf.DUMMYFUNCTION("""COMPUTED_VALUE"""),0.0)</f>
        <v>0</v>
      </c>
      <c r="T34" s="3"/>
      <c r="U34" s="3"/>
      <c r="V34" s="3"/>
      <c r="W34" s="3"/>
      <c r="X34" s="3"/>
      <c r="Y34" s="3">
        <f>IFERROR(__xludf.DUMMYFUNCTION("""COMPUTED_VALUE"""),0.0)</f>
        <v>0</v>
      </c>
      <c r="Z34" s="3"/>
      <c r="AA34" s="3">
        <f>IFERROR(__xludf.DUMMYFUNCTION("""COMPUTED_VALUE"""),0.0)</f>
        <v>0</v>
      </c>
      <c r="AB34" s="3"/>
      <c r="AC34" s="3"/>
      <c r="AD34" s="3">
        <f>IFERROR(__xludf.DUMMYFUNCTION("""COMPUTED_VALUE"""),0.0)</f>
        <v>0</v>
      </c>
      <c r="AE34" s="3"/>
      <c r="AF34" s="3"/>
      <c r="AG34" s="3">
        <f>IFERROR(__xludf.DUMMYFUNCTION("""COMPUTED_VALUE"""),0.0)</f>
        <v>0</v>
      </c>
      <c r="AH34" s="3"/>
      <c r="AI34" s="3"/>
      <c r="AJ34" s="3"/>
      <c r="AK34" s="3"/>
      <c r="AL34" s="3"/>
      <c r="AM34" s="3">
        <f>IFERROR(__xludf.DUMMYFUNCTION("""COMPUTED_VALUE"""),0.0)</f>
        <v>0</v>
      </c>
      <c r="AN34" s="3"/>
      <c r="AO34" s="3">
        <f>IFERROR(__xludf.DUMMYFUNCTION("""COMPUTED_VALUE"""),0.0)</f>
        <v>0</v>
      </c>
      <c r="AP34" s="3"/>
      <c r="AQ34" s="3">
        <f>IFERROR(__xludf.DUMMYFUNCTION("""COMPUTED_VALUE"""),0.0)</f>
        <v>0</v>
      </c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</row>
    <row r="35">
      <c r="A35" s="2" t="str">
        <f>IFERROR(__xludf.DUMMYFUNCTION("""COMPUTED_VALUE"""),"24301037")</f>
        <v>24301037</v>
      </c>
      <c r="B35" s="3">
        <f>IFERROR(__xludf.DUMMYFUNCTION("""COMPUTED_VALUE"""),25.0)</f>
        <v>25</v>
      </c>
      <c r="C35" s="3">
        <f>IFERROR(__xludf.DUMMYFUNCTION("""COMPUTED_VALUE"""),20.0)</f>
        <v>20</v>
      </c>
      <c r="D35" s="3">
        <f>IFERROR(__xludf.DUMMYFUNCTION("""COMPUTED_VALUE"""),5.0)</f>
        <v>5</v>
      </c>
      <c r="E35" s="3">
        <f>IFERROR(__xludf.DUMMYFUNCTION("""COMPUTED_VALUE"""),20.0)</f>
        <v>20</v>
      </c>
      <c r="F35" s="3">
        <f>IFERROR(__xludf.DUMMYFUNCTION("""COMPUTED_VALUE"""),12.0)</f>
        <v>12</v>
      </c>
      <c r="G35" s="3">
        <f>IFERROR(__xludf.DUMMYFUNCTION("""COMPUTED_VALUE"""),20.0)</f>
        <v>20</v>
      </c>
      <c r="H35" s="3">
        <f>IFERROR(__xludf.DUMMYFUNCTION("""COMPUTED_VALUE"""),17.0)</f>
        <v>17</v>
      </c>
      <c r="I35" s="3">
        <f>IFERROR(__xludf.DUMMYFUNCTION("""COMPUTED_VALUE"""),20.0)</f>
        <v>20</v>
      </c>
      <c r="J35" s="3">
        <f>IFERROR(__xludf.DUMMYFUNCTION("""COMPUTED_VALUE"""),8.0)</f>
        <v>8</v>
      </c>
      <c r="K35" s="3">
        <f>IFERROR(__xludf.DUMMYFUNCTION("""COMPUTED_VALUE"""),8.0)</f>
        <v>8</v>
      </c>
      <c r="L35" s="3">
        <f>IFERROR(__xludf.DUMMYFUNCTION("""COMPUTED_VALUE"""),8.0)</f>
        <v>8</v>
      </c>
      <c r="M35" s="3">
        <f>IFERROR(__xludf.DUMMYFUNCTION("""COMPUTED_VALUE"""),8.0)</f>
        <v>8</v>
      </c>
      <c r="N35" s="3">
        <f>IFERROR(__xludf.DUMMYFUNCTION("""COMPUTED_VALUE"""),8.0)</f>
        <v>8</v>
      </c>
      <c r="O35" s="3">
        <f>IFERROR(__xludf.DUMMYFUNCTION("""COMPUTED_VALUE"""),8.0)</f>
        <v>8</v>
      </c>
      <c r="P35" s="3">
        <f>IFERROR(__xludf.DUMMYFUNCTION("""COMPUTED_VALUE"""),6.0)</f>
        <v>6</v>
      </c>
      <c r="Q35" s="3">
        <f>IFERROR(__xludf.DUMMYFUNCTION("""COMPUTED_VALUE"""),6.0)</f>
        <v>6</v>
      </c>
      <c r="R35" s="3">
        <f>IFERROR(__xludf.DUMMYFUNCTION("""COMPUTED_VALUE"""),1.0)</f>
        <v>1</v>
      </c>
      <c r="S35" s="3">
        <f>IFERROR(__xludf.DUMMYFUNCTION("""COMPUTED_VALUE"""),1.0)</f>
        <v>1</v>
      </c>
      <c r="T35" s="3"/>
      <c r="U35" s="3"/>
      <c r="V35" s="3"/>
      <c r="W35" s="3"/>
      <c r="X35" s="3"/>
      <c r="Y35" s="3">
        <f>IFERROR(__xludf.DUMMYFUNCTION("""COMPUTED_VALUE"""),0.2)</f>
        <v>0.2</v>
      </c>
      <c r="Z35" s="3"/>
      <c r="AA35" s="3">
        <f>IFERROR(__xludf.DUMMYFUNCTION("""COMPUTED_VALUE"""),1.0)</f>
        <v>1</v>
      </c>
      <c r="AB35" s="3"/>
      <c r="AC35" s="3"/>
      <c r="AD35" s="3">
        <f>IFERROR(__xludf.DUMMYFUNCTION("""COMPUTED_VALUE"""),1.0)</f>
        <v>1</v>
      </c>
      <c r="AE35" s="3"/>
      <c r="AF35" s="3"/>
      <c r="AG35" s="3">
        <f>IFERROR(__xludf.DUMMYFUNCTION("""COMPUTED_VALUE"""),0.7)</f>
        <v>0.7</v>
      </c>
      <c r="AH35" s="3"/>
      <c r="AI35" s="3"/>
      <c r="AJ35" s="3"/>
      <c r="AK35" s="3"/>
      <c r="AL35" s="3"/>
      <c r="AM35" s="3">
        <f>IFERROR(__xludf.DUMMYFUNCTION("""COMPUTED_VALUE"""),1.0)</f>
        <v>1</v>
      </c>
      <c r="AN35" s="3"/>
      <c r="AO35" s="3">
        <f>IFERROR(__xludf.DUMMYFUNCTION("""COMPUTED_VALUE"""),1.0)</f>
        <v>1</v>
      </c>
      <c r="AP35" s="3"/>
      <c r="AQ35" s="3">
        <f>IFERROR(__xludf.DUMMYFUNCTION("""COMPUTED_VALUE"""),1.0)</f>
        <v>1</v>
      </c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</row>
    <row r="36">
      <c r="A36" s="2" t="str">
        <f>IFERROR(__xludf.DUMMYFUNCTION("""COMPUTED_VALUE"""),"24301042")</f>
        <v>24301042</v>
      </c>
      <c r="B36" s="3">
        <f>IFERROR(__xludf.DUMMYFUNCTION("""COMPUTED_VALUE"""),18.333333333333336)</f>
        <v>18.33333333</v>
      </c>
      <c r="C36" s="3">
        <f>IFERROR(__xludf.DUMMYFUNCTION("""COMPUTED_VALUE"""),13.333333333333334)</f>
        <v>13.33333333</v>
      </c>
      <c r="D36" s="3">
        <f>IFERROR(__xludf.DUMMYFUNCTION("""COMPUTED_VALUE"""),5.0)</f>
        <v>5</v>
      </c>
      <c r="E36" s="3">
        <f>IFERROR(__xludf.DUMMYFUNCTION("""COMPUTED_VALUE"""),20.0)</f>
        <v>20</v>
      </c>
      <c r="F36" s="3">
        <f>IFERROR(__xludf.DUMMYFUNCTION("""COMPUTED_VALUE"""),10.0)</f>
        <v>10</v>
      </c>
      <c r="G36" s="3">
        <f>IFERROR(__xludf.DUMMYFUNCTION("""COMPUTED_VALUE"""),0.0)</f>
        <v>0</v>
      </c>
      <c r="H36" s="3">
        <f>IFERROR(__xludf.DUMMYFUNCTION("""COMPUTED_VALUE"""),0.0)</f>
        <v>0</v>
      </c>
      <c r="I36" s="3">
        <f>IFERROR(__xludf.DUMMYFUNCTION("""COMPUTED_VALUE"""),10.0)</f>
        <v>10</v>
      </c>
      <c r="J36" s="3">
        <f>IFERROR(__xludf.DUMMYFUNCTION("""COMPUTED_VALUE"""),8.0)</f>
        <v>8</v>
      </c>
      <c r="K36" s="3">
        <f>IFERROR(__xludf.DUMMYFUNCTION("""COMPUTED_VALUE"""),8.0)</f>
        <v>8</v>
      </c>
      <c r="L36" s="3">
        <f>IFERROR(__xludf.DUMMYFUNCTION("""COMPUTED_VALUE"""),8.0)</f>
        <v>8</v>
      </c>
      <c r="M36" s="3">
        <f>IFERROR(__xludf.DUMMYFUNCTION("""COMPUTED_VALUE"""),8.0)</f>
        <v>8</v>
      </c>
      <c r="N36" s="3">
        <f>IFERROR(__xludf.DUMMYFUNCTION("""COMPUTED_VALUE"""),8.0)</f>
        <v>8</v>
      </c>
      <c r="O36" s="3">
        <f>IFERROR(__xludf.DUMMYFUNCTION("""COMPUTED_VALUE"""),8.0)</f>
        <v>8</v>
      </c>
      <c r="P36" s="3">
        <f>IFERROR(__xludf.DUMMYFUNCTION("""COMPUTED_VALUE"""),6.0)</f>
        <v>6</v>
      </c>
      <c r="Q36" s="3">
        <f>IFERROR(__xludf.DUMMYFUNCTION("""COMPUTED_VALUE"""),0.0)</f>
        <v>0</v>
      </c>
      <c r="R36" s="3">
        <f>IFERROR(__xludf.DUMMYFUNCTION("""COMPUTED_VALUE"""),1.0)</f>
        <v>1</v>
      </c>
      <c r="S36" s="3">
        <f>IFERROR(__xludf.DUMMYFUNCTION("""COMPUTED_VALUE"""),1.0)</f>
        <v>1</v>
      </c>
      <c r="T36" s="3"/>
      <c r="U36" s="3"/>
      <c r="V36" s="3"/>
      <c r="W36" s="3"/>
      <c r="X36" s="3"/>
      <c r="Y36" s="3">
        <f>IFERROR(__xludf.DUMMYFUNCTION("""COMPUTED_VALUE"""),0.0)</f>
        <v>0</v>
      </c>
      <c r="Z36" s="3"/>
      <c r="AA36" s="3">
        <f>IFERROR(__xludf.DUMMYFUNCTION("""COMPUTED_VALUE"""),1.0)</f>
        <v>1</v>
      </c>
      <c r="AB36" s="3"/>
      <c r="AC36" s="3"/>
      <c r="AD36" s="3">
        <f>IFERROR(__xludf.DUMMYFUNCTION("""COMPUTED_VALUE"""),0.0)</f>
        <v>0</v>
      </c>
      <c r="AE36" s="3"/>
      <c r="AF36" s="3"/>
      <c r="AG36" s="3">
        <f>IFERROR(__xludf.DUMMYFUNCTION("""COMPUTED_VALUE"""),0.0)</f>
        <v>0</v>
      </c>
      <c r="AH36" s="3"/>
      <c r="AI36" s="3"/>
      <c r="AJ36" s="3"/>
      <c r="AK36" s="3"/>
      <c r="AL36" s="3"/>
      <c r="AM36" s="3">
        <f>IFERROR(__xludf.DUMMYFUNCTION("""COMPUTED_VALUE"""),0.0)</f>
        <v>0</v>
      </c>
      <c r="AN36" s="3"/>
      <c r="AO36" s="3">
        <f>IFERROR(__xludf.DUMMYFUNCTION("""COMPUTED_VALUE"""),1.0)</f>
        <v>1</v>
      </c>
      <c r="AP36" s="3"/>
      <c r="AQ36" s="3">
        <f>IFERROR(__xludf.DUMMYFUNCTION("""COMPUTED_VALUE"""),0.0)</f>
        <v>0</v>
      </c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</row>
    <row r="37">
      <c r="A37" s="2" t="str">
        <f>IFERROR(__xludf.DUMMYFUNCTION("""COMPUTED_VALUE"""),"24301047")</f>
        <v>24301047</v>
      </c>
      <c r="B37" s="3">
        <f>IFERROR(__xludf.DUMMYFUNCTION("""COMPUTED_VALUE"""),15.0)</f>
        <v>15</v>
      </c>
      <c r="C37" s="3">
        <f>IFERROR(__xludf.DUMMYFUNCTION("""COMPUTED_VALUE"""),10.0)</f>
        <v>10</v>
      </c>
      <c r="D37" s="3">
        <f>IFERROR(__xludf.DUMMYFUNCTION("""COMPUTED_VALUE"""),5.0)</f>
        <v>5</v>
      </c>
      <c r="E37" s="3">
        <f>IFERROR(__xludf.DUMMYFUNCTION("""COMPUTED_VALUE"""),0.0)</f>
        <v>0</v>
      </c>
      <c r="F37" s="3">
        <f>IFERROR(__xludf.DUMMYFUNCTION("""COMPUTED_VALUE"""),10.0)</f>
        <v>10</v>
      </c>
      <c r="G37" s="3">
        <f>IFERROR(__xludf.DUMMYFUNCTION("""COMPUTED_VALUE"""),0.0)</f>
        <v>0</v>
      </c>
      <c r="H37" s="3">
        <f>IFERROR(__xludf.DUMMYFUNCTION("""COMPUTED_VALUE"""),0.0)</f>
        <v>0</v>
      </c>
      <c r="I37" s="3">
        <f>IFERROR(__xludf.DUMMYFUNCTION("""COMPUTED_VALUE"""),20.0)</f>
        <v>20</v>
      </c>
      <c r="J37" s="3">
        <f>IFERROR(__xludf.DUMMYFUNCTION("""COMPUTED_VALUE"""),8.0)</f>
        <v>8</v>
      </c>
      <c r="K37" s="3">
        <f>IFERROR(__xludf.DUMMYFUNCTION("""COMPUTED_VALUE"""),8.0)</f>
        <v>8</v>
      </c>
      <c r="L37" s="3">
        <f>IFERROR(__xludf.DUMMYFUNCTION("""COMPUTED_VALUE"""),8.0)</f>
        <v>8</v>
      </c>
      <c r="M37" s="3">
        <f>IFERROR(__xludf.DUMMYFUNCTION("""COMPUTED_VALUE"""),8.0)</f>
        <v>8</v>
      </c>
      <c r="N37" s="3">
        <f>IFERROR(__xludf.DUMMYFUNCTION("""COMPUTED_VALUE"""),8.0)</f>
        <v>8</v>
      </c>
      <c r="O37" s="3">
        <f>IFERROR(__xludf.DUMMYFUNCTION("""COMPUTED_VALUE"""),2.0)</f>
        <v>2</v>
      </c>
      <c r="P37" s="3">
        <f>IFERROR(__xludf.DUMMYFUNCTION("""COMPUTED_VALUE"""),6.0)</f>
        <v>6</v>
      </c>
      <c r="Q37" s="3">
        <f>IFERROR(__xludf.DUMMYFUNCTION("""COMPUTED_VALUE"""),7.0)</f>
        <v>7</v>
      </c>
      <c r="R37" s="3">
        <f>IFERROR(__xludf.DUMMYFUNCTION("""COMPUTED_VALUE"""),0.0)</f>
        <v>0</v>
      </c>
      <c r="S37" s="3">
        <f>IFERROR(__xludf.DUMMYFUNCTION("""COMPUTED_VALUE"""),0.0)</f>
        <v>0</v>
      </c>
      <c r="T37" s="3"/>
      <c r="U37" s="3"/>
      <c r="V37" s="3"/>
      <c r="W37" s="3"/>
      <c r="X37" s="3"/>
      <c r="Y37" s="3">
        <f>IFERROR(__xludf.DUMMYFUNCTION("""COMPUTED_VALUE"""),0.0)</f>
        <v>0</v>
      </c>
      <c r="Z37" s="3"/>
      <c r="AA37" s="3">
        <f>IFERROR(__xludf.DUMMYFUNCTION("""COMPUTED_VALUE"""),1.0)</f>
        <v>1</v>
      </c>
      <c r="AB37" s="3"/>
      <c r="AC37" s="3"/>
      <c r="AD37" s="3">
        <f>IFERROR(__xludf.DUMMYFUNCTION("""COMPUTED_VALUE"""),0.0)</f>
        <v>0</v>
      </c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>
        <f>IFERROR(__xludf.DUMMYFUNCTION("""COMPUTED_VALUE"""),1.0)</f>
        <v>1</v>
      </c>
      <c r="AP37" s="3"/>
      <c r="AQ37" s="3">
        <f>IFERROR(__xludf.DUMMYFUNCTION("""COMPUTED_VALUE"""),1.0)</f>
        <v>1</v>
      </c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</row>
    <row r="38">
      <c r="A38" s="2" t="str">
        <f>IFERROR(__xludf.DUMMYFUNCTION("""COMPUTED_VALUE"""),"24301136")</f>
        <v>24301136</v>
      </c>
      <c r="B38" s="3">
        <f>IFERROR(__xludf.DUMMYFUNCTION("""COMPUTED_VALUE"""),15.572327044025156)</f>
        <v>15.57232704</v>
      </c>
      <c r="C38" s="3">
        <f>IFERROR(__xludf.DUMMYFUNCTION("""COMPUTED_VALUE"""),10.666666666666666)</f>
        <v>10.66666667</v>
      </c>
      <c r="D38" s="3">
        <f>IFERROR(__xludf.DUMMYFUNCTION("""COMPUTED_VALUE"""),4.90566037735849)</f>
        <v>4.905660377</v>
      </c>
      <c r="E38" s="3">
        <f>IFERROR(__xludf.DUMMYFUNCTION("""COMPUTED_VALUE"""),10.0)</f>
        <v>10</v>
      </c>
      <c r="F38" s="3">
        <f>IFERROR(__xludf.DUMMYFUNCTION("""COMPUTED_VALUE"""),12.0)</f>
        <v>12</v>
      </c>
      <c r="G38" s="3">
        <f>IFERROR(__xludf.DUMMYFUNCTION("""COMPUTED_VALUE"""),0.0)</f>
        <v>0</v>
      </c>
      <c r="H38" s="3">
        <f>IFERROR(__xludf.DUMMYFUNCTION("""COMPUTED_VALUE"""),10.0)</f>
        <v>10</v>
      </c>
      <c r="I38" s="3">
        <f>IFERROR(__xludf.DUMMYFUNCTION("""COMPUTED_VALUE"""),0.0)</f>
        <v>0</v>
      </c>
      <c r="J38" s="3">
        <f>IFERROR(__xludf.DUMMYFUNCTION("""COMPUTED_VALUE"""),8.0)</f>
        <v>8</v>
      </c>
      <c r="K38" s="3">
        <f>IFERROR(__xludf.DUMMYFUNCTION("""COMPUTED_VALUE"""),8.0)</f>
        <v>8</v>
      </c>
      <c r="L38" s="3">
        <f>IFERROR(__xludf.DUMMYFUNCTION("""COMPUTED_VALUE"""),8.0)</f>
        <v>8</v>
      </c>
      <c r="M38" s="3">
        <f>IFERROR(__xludf.DUMMYFUNCTION("""COMPUTED_VALUE"""),8.0)</f>
        <v>8</v>
      </c>
      <c r="N38" s="3">
        <f>IFERROR(__xludf.DUMMYFUNCTION("""COMPUTED_VALUE"""),8.0)</f>
        <v>8</v>
      </c>
      <c r="O38" s="3">
        <f>IFERROR(__xludf.DUMMYFUNCTION("""COMPUTED_VALUE"""),0.0)</f>
        <v>0</v>
      </c>
      <c r="P38" s="3">
        <f>IFERROR(__xludf.DUMMYFUNCTION("""COMPUTED_VALUE"""),6.0)</f>
        <v>6</v>
      </c>
      <c r="Q38" s="3">
        <f>IFERROR(__xludf.DUMMYFUNCTION("""COMPUTED_VALUE"""),6.0)</f>
        <v>6</v>
      </c>
      <c r="R38" s="3">
        <f>IFERROR(__xludf.DUMMYFUNCTION("""COMPUTED_VALUE"""),1.0)</f>
        <v>1</v>
      </c>
      <c r="S38" s="3">
        <f>IFERROR(__xludf.DUMMYFUNCTION("""COMPUTED_VALUE"""),0.0)</f>
        <v>0</v>
      </c>
      <c r="T38" s="3"/>
      <c r="U38" s="3"/>
      <c r="V38" s="3"/>
      <c r="W38" s="3"/>
      <c r="X38" s="3"/>
      <c r="Y38" s="3">
        <f>IFERROR(__xludf.DUMMYFUNCTION("""COMPUTED_VALUE"""),0.2)</f>
        <v>0.2</v>
      </c>
      <c r="Z38" s="3"/>
      <c r="AA38" s="3">
        <f>IFERROR(__xludf.DUMMYFUNCTION("""COMPUTED_VALUE"""),1.0)</f>
        <v>1</v>
      </c>
      <c r="AB38" s="3"/>
      <c r="AC38" s="3"/>
      <c r="AD38" s="3">
        <f>IFERROR(__xludf.DUMMYFUNCTION("""COMPUTED_VALUE"""),0.0)</f>
        <v>0</v>
      </c>
      <c r="AE38" s="3"/>
      <c r="AF38" s="3"/>
      <c r="AG38" s="3">
        <f>IFERROR(__xludf.DUMMYFUNCTION("""COMPUTED_VALUE"""),0.0)</f>
        <v>0</v>
      </c>
      <c r="AH38" s="3"/>
      <c r="AI38" s="3"/>
      <c r="AJ38" s="3"/>
      <c r="AK38" s="3"/>
      <c r="AL38" s="3"/>
      <c r="AM38" s="3">
        <f>IFERROR(__xludf.DUMMYFUNCTION("""COMPUTED_VALUE"""),1.0)</f>
        <v>1</v>
      </c>
      <c r="AN38" s="3"/>
      <c r="AO38" s="3">
        <f>IFERROR(__xludf.DUMMYFUNCTION("""COMPUTED_VALUE"""),0.0)</f>
        <v>0</v>
      </c>
      <c r="AP38" s="3"/>
      <c r="AQ38" s="3">
        <f>IFERROR(__xludf.DUMMYFUNCTION("""COMPUTED_VALUE"""),0.0)</f>
        <v>0</v>
      </c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</row>
    <row r="39">
      <c r="A39" s="2" t="str">
        <f>IFERROR(__xludf.DUMMYFUNCTION("""COMPUTED_VALUE"""),"24301288")</f>
        <v>24301288</v>
      </c>
      <c r="B39" s="3">
        <f>IFERROR(__xludf.DUMMYFUNCTION("""COMPUTED_VALUE"""),5.0)</f>
        <v>5</v>
      </c>
      <c r="C39" s="3">
        <f>IFERROR(__xludf.DUMMYFUNCTION("""COMPUTED_VALUE"""),0.0)</f>
        <v>0</v>
      </c>
      <c r="D39" s="3">
        <f>IFERROR(__xludf.DUMMYFUNCTION("""COMPUTED_VALUE"""),5.0)</f>
        <v>5</v>
      </c>
      <c r="E39" s="3">
        <f>IFERROR(__xludf.DUMMYFUNCTION("""COMPUTED_VALUE"""),0.0)</f>
        <v>0</v>
      </c>
      <c r="F39" s="3">
        <f>IFERROR(__xludf.DUMMYFUNCTION("""COMPUTED_VALUE"""),0.0)</f>
        <v>0</v>
      </c>
      <c r="G39" s="3">
        <f>IFERROR(__xludf.DUMMYFUNCTION("""COMPUTED_VALUE"""),0.0)</f>
        <v>0</v>
      </c>
      <c r="H39" s="3">
        <f>IFERROR(__xludf.DUMMYFUNCTION("""COMPUTED_VALUE"""),0.0)</f>
        <v>0</v>
      </c>
      <c r="I39" s="3">
        <f>IFERROR(__xludf.DUMMYFUNCTION("""COMPUTED_VALUE"""),0.0)</f>
        <v>0</v>
      </c>
      <c r="J39" s="3">
        <f>IFERROR(__xludf.DUMMYFUNCTION("""COMPUTED_VALUE"""),8.0)</f>
        <v>8</v>
      </c>
      <c r="K39" s="3">
        <f>IFERROR(__xludf.DUMMYFUNCTION("""COMPUTED_VALUE"""),8.0)</f>
        <v>8</v>
      </c>
      <c r="L39" s="3">
        <f>IFERROR(__xludf.DUMMYFUNCTION("""COMPUTED_VALUE"""),8.0)</f>
        <v>8</v>
      </c>
      <c r="M39" s="3">
        <f>IFERROR(__xludf.DUMMYFUNCTION("""COMPUTED_VALUE"""),8.0)</f>
        <v>8</v>
      </c>
      <c r="N39" s="3">
        <f>IFERROR(__xludf.DUMMYFUNCTION("""COMPUTED_VALUE"""),8.0)</f>
        <v>8</v>
      </c>
      <c r="O39" s="3">
        <f>IFERROR(__xludf.DUMMYFUNCTION("""COMPUTED_VALUE"""),8.0)</f>
        <v>8</v>
      </c>
      <c r="P39" s="3">
        <f>IFERROR(__xludf.DUMMYFUNCTION("""COMPUTED_VALUE"""),6.0)</f>
        <v>6</v>
      </c>
      <c r="Q39" s="3">
        <f>IFERROR(__xludf.DUMMYFUNCTION("""COMPUTED_VALUE"""),7.0)</f>
        <v>7</v>
      </c>
      <c r="R39" s="3">
        <f>IFERROR(__xludf.DUMMYFUNCTION("""COMPUTED_VALUE"""),0.0)</f>
        <v>0</v>
      </c>
      <c r="S39" s="3">
        <f>IFERROR(__xludf.DUMMYFUNCTION("""COMPUTED_VALUE"""),0.0)</f>
        <v>0</v>
      </c>
      <c r="T39" s="3"/>
      <c r="U39" s="3"/>
      <c r="V39" s="3"/>
      <c r="W39" s="3"/>
      <c r="X39" s="3"/>
      <c r="Y39" s="3">
        <f>IFERROR(__xludf.DUMMYFUNCTION("""COMPUTED_VALUE"""),0.0)</f>
        <v>0</v>
      </c>
      <c r="Z39" s="3"/>
      <c r="AA39" s="3">
        <f>IFERROR(__xludf.DUMMYFUNCTION("""COMPUTED_VALUE"""),0.0)</f>
        <v>0</v>
      </c>
      <c r="AB39" s="3"/>
      <c r="AC39" s="3"/>
      <c r="AD39" s="3">
        <f>IFERROR(__xludf.DUMMYFUNCTION("""COMPUTED_VALUE"""),0.0)</f>
        <v>0</v>
      </c>
      <c r="AE39" s="3"/>
      <c r="AF39" s="3"/>
      <c r="AG39" s="3">
        <f>IFERROR(__xludf.DUMMYFUNCTION("""COMPUTED_VALUE"""),0.0)</f>
        <v>0</v>
      </c>
      <c r="AH39" s="3"/>
      <c r="AI39" s="3"/>
      <c r="AJ39" s="3"/>
      <c r="AK39" s="3"/>
      <c r="AL39" s="3"/>
      <c r="AM39" s="3">
        <f>IFERROR(__xludf.DUMMYFUNCTION("""COMPUTED_VALUE"""),0.0)</f>
        <v>0</v>
      </c>
      <c r="AN39" s="3"/>
      <c r="AO39" s="3">
        <f>IFERROR(__xludf.DUMMYFUNCTION("""COMPUTED_VALUE"""),0.0)</f>
        <v>0</v>
      </c>
      <c r="AP39" s="3"/>
      <c r="AQ39" s="3">
        <f>IFERROR(__xludf.DUMMYFUNCTION("""COMPUTED_VALUE"""),0.0)</f>
        <v>0</v>
      </c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</row>
    <row r="40">
      <c r="A40" s="2" t="str">
        <f>IFERROR(__xludf.DUMMYFUNCTION("""COMPUTED_VALUE"""),"24301537")</f>
        <v>24301537</v>
      </c>
      <c r="B40" s="3">
        <f>IFERROR(__xludf.DUMMYFUNCTION("""COMPUTED_VALUE"""),9.0)</f>
        <v>9</v>
      </c>
      <c r="C40" s="3">
        <f>IFERROR(__xludf.DUMMYFUNCTION("""COMPUTED_VALUE"""),4.0)</f>
        <v>4</v>
      </c>
      <c r="D40" s="3">
        <f>IFERROR(__xludf.DUMMYFUNCTION("""COMPUTED_VALUE"""),5.0)</f>
        <v>5</v>
      </c>
      <c r="E40" s="3">
        <f>IFERROR(__xludf.DUMMYFUNCTION("""COMPUTED_VALUE"""),0.0)</f>
        <v>0</v>
      </c>
      <c r="F40" s="3">
        <f>IFERROR(__xludf.DUMMYFUNCTION("""COMPUTED_VALUE"""),10.0)</f>
        <v>10</v>
      </c>
      <c r="G40" s="3">
        <f>IFERROR(__xludf.DUMMYFUNCTION("""COMPUTED_VALUE"""),0.0)</f>
        <v>0</v>
      </c>
      <c r="H40" s="3">
        <f>IFERROR(__xludf.DUMMYFUNCTION("""COMPUTED_VALUE"""),2.0)</f>
        <v>2</v>
      </c>
      <c r="I40" s="3">
        <f>IFERROR(__xludf.DUMMYFUNCTION("""COMPUTED_VALUE"""),0.0)</f>
        <v>0</v>
      </c>
      <c r="J40" s="3">
        <f>IFERROR(__xludf.DUMMYFUNCTION("""COMPUTED_VALUE"""),7.0)</f>
        <v>7</v>
      </c>
      <c r="K40" s="3">
        <f>IFERROR(__xludf.DUMMYFUNCTION("""COMPUTED_VALUE"""),8.0)</f>
        <v>8</v>
      </c>
      <c r="L40" s="3">
        <f>IFERROR(__xludf.DUMMYFUNCTION("""COMPUTED_VALUE"""),8.0)</f>
        <v>8</v>
      </c>
      <c r="M40" s="3">
        <f>IFERROR(__xludf.DUMMYFUNCTION("""COMPUTED_VALUE"""),8.0)</f>
        <v>8</v>
      </c>
      <c r="N40" s="3">
        <f>IFERROR(__xludf.DUMMYFUNCTION("""COMPUTED_VALUE"""),8.0)</f>
        <v>8</v>
      </c>
      <c r="O40" s="3">
        <f>IFERROR(__xludf.DUMMYFUNCTION("""COMPUTED_VALUE"""),8.0)</f>
        <v>8</v>
      </c>
      <c r="P40" s="3">
        <f>IFERROR(__xludf.DUMMYFUNCTION("""COMPUTED_VALUE"""),6.0)</f>
        <v>6</v>
      </c>
      <c r="Q40" s="3">
        <f>IFERROR(__xludf.DUMMYFUNCTION("""COMPUTED_VALUE"""),4.0)</f>
        <v>4</v>
      </c>
      <c r="R40" s="3">
        <f>IFERROR(__xludf.DUMMYFUNCTION("""COMPUTED_VALUE"""),0.0)</f>
        <v>0</v>
      </c>
      <c r="S40" s="3">
        <f>IFERROR(__xludf.DUMMYFUNCTION("""COMPUTED_VALUE"""),0.0)</f>
        <v>0</v>
      </c>
      <c r="T40" s="3"/>
      <c r="U40" s="3"/>
      <c r="V40" s="3"/>
      <c r="W40" s="3"/>
      <c r="X40" s="3"/>
      <c r="Y40" s="3">
        <f>IFERROR(__xludf.DUMMYFUNCTION("""COMPUTED_VALUE"""),0.0)</f>
        <v>0</v>
      </c>
      <c r="Z40" s="3"/>
      <c r="AA40" s="3">
        <f>IFERROR(__xludf.DUMMYFUNCTION("""COMPUTED_VALUE"""),1.0)</f>
        <v>1</v>
      </c>
      <c r="AB40" s="3"/>
      <c r="AC40" s="3"/>
      <c r="AD40" s="3">
        <f>IFERROR(__xludf.DUMMYFUNCTION("""COMPUTED_VALUE"""),0.0)</f>
        <v>0</v>
      </c>
      <c r="AE40" s="3"/>
      <c r="AF40" s="3"/>
      <c r="AG40" s="3">
        <f>IFERROR(__xludf.DUMMYFUNCTION("""COMPUTED_VALUE"""),0.2)</f>
        <v>0.2</v>
      </c>
      <c r="AH40" s="3"/>
      <c r="AI40" s="3"/>
      <c r="AJ40" s="3"/>
      <c r="AK40" s="3"/>
      <c r="AL40" s="3"/>
      <c r="AM40" s="3">
        <f>IFERROR(__xludf.DUMMYFUNCTION("""COMPUTED_VALUE"""),0.0)</f>
        <v>0</v>
      </c>
      <c r="AN40" s="3"/>
      <c r="AO40" s="3">
        <f>IFERROR(__xludf.DUMMYFUNCTION("""COMPUTED_VALUE"""),0.0)</f>
        <v>0</v>
      </c>
      <c r="AP40" s="3"/>
      <c r="AQ40" s="3">
        <f>IFERROR(__xludf.DUMMYFUNCTION("""COMPUTED_VALUE"""),0.0)</f>
        <v>0</v>
      </c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</row>
    <row r="41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</row>
    <row r="42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</row>
    <row r="43">
      <c r="A43" s="2" t="s">
        <v>1</v>
      </c>
      <c r="B43" s="3">
        <f t="array" ref="B43:BZ49">bycol(B3:BZ42,lambda(x,{average(x);median(x);mode(x);min(x);max(x);counta(x);countif(x,0)}))</f>
        <v>6.494207216</v>
      </c>
      <c r="C43" s="3">
        <v>3.333333333333333</v>
      </c>
      <c r="D43" s="3">
        <v>3.5526315789473686</v>
      </c>
      <c r="E43" s="3">
        <v>3.0</v>
      </c>
      <c r="F43" s="3">
        <v>3.4210526315789473</v>
      </c>
      <c r="G43" s="3">
        <v>1.4210526315789473</v>
      </c>
      <c r="H43" s="3">
        <v>1.605263157894737</v>
      </c>
      <c r="I43" s="3">
        <v>1.631578947368421</v>
      </c>
      <c r="J43" s="3">
        <v>6.081081081081081</v>
      </c>
      <c r="K43" s="3">
        <v>6.405405405405405</v>
      </c>
      <c r="L43" s="3">
        <v>5.243243243243243</v>
      </c>
      <c r="M43" s="3">
        <v>5.135135135135135</v>
      </c>
      <c r="N43" s="3">
        <v>5.351351351351352</v>
      </c>
      <c r="O43" s="3">
        <v>4.891891891891892</v>
      </c>
      <c r="P43" s="3">
        <v>4.216216216216216</v>
      </c>
      <c r="Q43" s="3">
        <v>2.6216216216216215</v>
      </c>
      <c r="R43" s="3">
        <v>0.27692307692307694</v>
      </c>
      <c r="S43" s="3">
        <v>0.1576923076923077</v>
      </c>
      <c r="T43" s="3" t="e">
        <v>#DIV/0!</v>
      </c>
      <c r="U43" s="3" t="e">
        <v>#DIV/0!</v>
      </c>
      <c r="V43" s="3">
        <v>0.1</v>
      </c>
      <c r="W43" s="3" t="e">
        <v>#DIV/0!</v>
      </c>
      <c r="X43" s="3" t="e">
        <v>#DIV/0!</v>
      </c>
      <c r="Y43" s="3">
        <v>0.037037037037037035</v>
      </c>
      <c r="Z43" s="3">
        <v>0.0</v>
      </c>
      <c r="AA43" s="3">
        <v>0.42857142857142855</v>
      </c>
      <c r="AB43" s="3" t="e">
        <v>#DIV/0!</v>
      </c>
      <c r="AC43" s="3">
        <v>0.0</v>
      </c>
      <c r="AD43" s="3">
        <v>0.10384615384615385</v>
      </c>
      <c r="AE43" s="3">
        <v>0.0</v>
      </c>
      <c r="AF43" s="3" t="e">
        <v>#DIV/0!</v>
      </c>
      <c r="AG43" s="3">
        <v>0.044</v>
      </c>
      <c r="AH43" s="3" t="e">
        <v>#DIV/0!</v>
      </c>
      <c r="AI43" s="3" t="e">
        <v>#DIV/0!</v>
      </c>
      <c r="AJ43" s="3" t="e">
        <v>#DIV/0!</v>
      </c>
      <c r="AK43" s="3" t="e">
        <v>#DIV/0!</v>
      </c>
      <c r="AL43" s="3" t="e">
        <v>#DIV/0!</v>
      </c>
      <c r="AM43" s="3">
        <v>0.24</v>
      </c>
      <c r="AN43" s="3" t="e">
        <v>#DIV/0!</v>
      </c>
      <c r="AO43" s="3">
        <v>0.1724137931034483</v>
      </c>
      <c r="AP43" s="3" t="e">
        <v>#DIV/0!</v>
      </c>
      <c r="AQ43" s="3">
        <v>0.08571428571428572</v>
      </c>
      <c r="AR43" s="3" t="e">
        <v>#DIV/0!</v>
      </c>
      <c r="AS43" s="3" t="e">
        <v>#DIV/0!</v>
      </c>
      <c r="AT43" s="3">
        <v>0.0</v>
      </c>
      <c r="AU43" s="3" t="e">
        <v>#DIV/0!</v>
      </c>
      <c r="AV43" s="3" t="e">
        <v>#DIV/0!</v>
      </c>
      <c r="AW43" s="3" t="e">
        <v>#DIV/0!</v>
      </c>
      <c r="AX43" s="3" t="e">
        <v>#DIV/0!</v>
      </c>
      <c r="AY43" s="3" t="e">
        <v>#DIV/0!</v>
      </c>
      <c r="AZ43" s="3" t="e">
        <v>#DIV/0!</v>
      </c>
      <c r="BA43" s="3" t="e">
        <v>#DIV/0!</v>
      </c>
      <c r="BB43" s="3" t="e">
        <v>#DIV/0!</v>
      </c>
      <c r="BC43" s="3" t="e">
        <v>#DIV/0!</v>
      </c>
      <c r="BD43" s="3" t="e">
        <v>#DIV/0!</v>
      </c>
      <c r="BE43" s="3" t="e">
        <v>#DIV/0!</v>
      </c>
      <c r="BF43" s="3" t="e">
        <v>#DIV/0!</v>
      </c>
      <c r="BG43" s="3" t="e">
        <v>#DIV/0!</v>
      </c>
      <c r="BH43" s="3" t="e">
        <v>#DIV/0!</v>
      </c>
      <c r="BI43" s="3" t="e">
        <v>#DIV/0!</v>
      </c>
      <c r="BJ43" s="3" t="e">
        <v>#DIV/0!</v>
      </c>
      <c r="BK43" s="3" t="e">
        <v>#DIV/0!</v>
      </c>
      <c r="BL43" s="3" t="e">
        <v>#DIV/0!</v>
      </c>
      <c r="BM43" s="3" t="e">
        <v>#DIV/0!</v>
      </c>
      <c r="BN43" s="3" t="e">
        <v>#DIV/0!</v>
      </c>
      <c r="BO43" s="3" t="e">
        <v>#DIV/0!</v>
      </c>
      <c r="BP43" s="3" t="e">
        <v>#DIV/0!</v>
      </c>
      <c r="BQ43" s="3" t="e">
        <v>#DIV/0!</v>
      </c>
      <c r="BR43" s="3" t="e">
        <v>#DIV/0!</v>
      </c>
      <c r="BS43" s="3" t="e">
        <v>#DIV/0!</v>
      </c>
      <c r="BT43" s="3" t="e">
        <v>#DIV/0!</v>
      </c>
      <c r="BU43" s="3" t="e">
        <v>#DIV/0!</v>
      </c>
      <c r="BV43" s="3" t="e">
        <v>#DIV/0!</v>
      </c>
      <c r="BW43" s="3" t="e">
        <v>#DIV/0!</v>
      </c>
      <c r="BX43" s="3" t="e">
        <v>#DIV/0!</v>
      </c>
      <c r="BY43" s="3" t="e">
        <v>#DIV/0!</v>
      </c>
      <c r="BZ43" s="3" t="e">
        <v>#DIV/0!</v>
      </c>
    </row>
    <row r="44">
      <c r="A44" s="2" t="s">
        <v>2</v>
      </c>
      <c r="B44" s="3">
        <v>4.8584905660377355</v>
      </c>
      <c r="C44" s="3">
        <v>0.0</v>
      </c>
      <c r="D44" s="3">
        <v>4.528301886792454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7.0</v>
      </c>
      <c r="K44" s="3">
        <v>8.0</v>
      </c>
      <c r="L44" s="3">
        <v>8.0</v>
      </c>
      <c r="M44" s="3">
        <v>8.0</v>
      </c>
      <c r="N44" s="3">
        <v>8.0</v>
      </c>
      <c r="O44" s="3">
        <v>7.0</v>
      </c>
      <c r="P44" s="3">
        <v>6.0</v>
      </c>
      <c r="Q44" s="3">
        <v>2.0</v>
      </c>
      <c r="R44" s="3">
        <v>0.0</v>
      </c>
      <c r="S44" s="3">
        <v>0.0</v>
      </c>
      <c r="T44" s="3" t="e">
        <v>#NUM!</v>
      </c>
      <c r="U44" s="3" t="e">
        <v>#NUM!</v>
      </c>
      <c r="V44" s="3">
        <v>0.1</v>
      </c>
      <c r="W44" s="3" t="e">
        <v>#NUM!</v>
      </c>
      <c r="X44" s="3" t="e">
        <v>#NUM!</v>
      </c>
      <c r="Y44" s="3">
        <v>0.0</v>
      </c>
      <c r="Z44" s="3">
        <v>0.0</v>
      </c>
      <c r="AA44" s="3">
        <v>0.0</v>
      </c>
      <c r="AB44" s="3" t="e">
        <v>#NUM!</v>
      </c>
      <c r="AC44" s="3">
        <v>0.0</v>
      </c>
      <c r="AD44" s="3">
        <v>0.0</v>
      </c>
      <c r="AE44" s="3">
        <v>0.0</v>
      </c>
      <c r="AF44" s="3" t="e">
        <v>#NUM!</v>
      </c>
      <c r="AG44" s="3">
        <v>0.0</v>
      </c>
      <c r="AH44" s="3" t="e">
        <v>#NUM!</v>
      </c>
      <c r="AI44" s="3" t="e">
        <v>#NUM!</v>
      </c>
      <c r="AJ44" s="3" t="e">
        <v>#NUM!</v>
      </c>
      <c r="AK44" s="3" t="e">
        <v>#NUM!</v>
      </c>
      <c r="AL44" s="3" t="e">
        <v>#NUM!</v>
      </c>
      <c r="AM44" s="3">
        <v>0.0</v>
      </c>
      <c r="AN44" s="3" t="e">
        <v>#NUM!</v>
      </c>
      <c r="AO44" s="3">
        <v>0.0</v>
      </c>
      <c r="AP44" s="3" t="e">
        <v>#NUM!</v>
      </c>
      <c r="AQ44" s="3">
        <v>0.0</v>
      </c>
      <c r="AR44" s="3" t="e">
        <v>#NUM!</v>
      </c>
      <c r="AS44" s="3" t="e">
        <v>#NUM!</v>
      </c>
      <c r="AT44" s="3">
        <v>0.0</v>
      </c>
      <c r="AU44" s="3" t="e">
        <v>#NUM!</v>
      </c>
      <c r="AV44" s="3" t="e">
        <v>#NUM!</v>
      </c>
      <c r="AW44" s="3" t="e">
        <v>#NUM!</v>
      </c>
      <c r="AX44" s="3" t="e">
        <v>#NUM!</v>
      </c>
      <c r="AY44" s="3" t="e">
        <v>#NUM!</v>
      </c>
      <c r="AZ44" s="3" t="e">
        <v>#NUM!</v>
      </c>
      <c r="BA44" s="3" t="e">
        <v>#NUM!</v>
      </c>
      <c r="BB44" s="3" t="e">
        <v>#NUM!</v>
      </c>
      <c r="BC44" s="3" t="e">
        <v>#NUM!</v>
      </c>
      <c r="BD44" s="3" t="e">
        <v>#NUM!</v>
      </c>
      <c r="BE44" s="3" t="e">
        <v>#NUM!</v>
      </c>
      <c r="BF44" s="3" t="e">
        <v>#NUM!</v>
      </c>
      <c r="BG44" s="3" t="e">
        <v>#NUM!</v>
      </c>
      <c r="BH44" s="3" t="e">
        <v>#NUM!</v>
      </c>
      <c r="BI44" s="3" t="e">
        <v>#NUM!</v>
      </c>
      <c r="BJ44" s="3" t="e">
        <v>#NUM!</v>
      </c>
      <c r="BK44" s="3" t="e">
        <v>#NUM!</v>
      </c>
      <c r="BL44" s="3" t="e">
        <v>#NUM!</v>
      </c>
      <c r="BM44" s="3" t="e">
        <v>#NUM!</v>
      </c>
      <c r="BN44" s="3" t="e">
        <v>#NUM!</v>
      </c>
      <c r="BO44" s="3" t="e">
        <v>#NUM!</v>
      </c>
      <c r="BP44" s="3" t="e">
        <v>#NUM!</v>
      </c>
      <c r="BQ44" s="3" t="e">
        <v>#NUM!</v>
      </c>
      <c r="BR44" s="3" t="e">
        <v>#NUM!</v>
      </c>
      <c r="BS44" s="3" t="e">
        <v>#NUM!</v>
      </c>
      <c r="BT44" s="3" t="e">
        <v>#NUM!</v>
      </c>
      <c r="BU44" s="3" t="e">
        <v>#NUM!</v>
      </c>
      <c r="BV44" s="3" t="e">
        <v>#NUM!</v>
      </c>
      <c r="BW44" s="3" t="e">
        <v>#NUM!</v>
      </c>
      <c r="BX44" s="3" t="e">
        <v>#NUM!</v>
      </c>
      <c r="BY44" s="3" t="e">
        <v>#NUM!</v>
      </c>
      <c r="BZ44" s="3" t="e">
        <v>#NUM!</v>
      </c>
    </row>
    <row r="45">
      <c r="A45" s="5" t="s">
        <v>3</v>
      </c>
      <c r="B45" s="6">
        <v>0.0</v>
      </c>
      <c r="C45" s="6">
        <v>0.0</v>
      </c>
      <c r="D45" s="6">
        <v>5.0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8.0</v>
      </c>
      <c r="K45" s="6">
        <v>8.0</v>
      </c>
      <c r="L45" s="6">
        <v>8.0</v>
      </c>
      <c r="M45" s="6">
        <v>8.0</v>
      </c>
      <c r="N45" s="6">
        <v>8.0</v>
      </c>
      <c r="O45" s="6">
        <v>8.0</v>
      </c>
      <c r="P45" s="6">
        <v>6.0</v>
      </c>
      <c r="Q45" s="6">
        <v>0.0</v>
      </c>
      <c r="R45" s="6">
        <v>0.0</v>
      </c>
      <c r="S45" s="6">
        <v>0.0</v>
      </c>
      <c r="T45" s="6" t="e">
        <v>#N/A</v>
      </c>
      <c r="U45" s="6" t="e">
        <v>#N/A</v>
      </c>
      <c r="V45" s="6" t="e">
        <v>#N/A</v>
      </c>
      <c r="W45" s="6" t="e">
        <v>#N/A</v>
      </c>
      <c r="X45" s="6" t="e">
        <v>#N/A</v>
      </c>
      <c r="Y45" s="6">
        <v>0.0</v>
      </c>
      <c r="Z45" s="6" t="e">
        <v>#N/A</v>
      </c>
      <c r="AA45" s="6">
        <v>0.0</v>
      </c>
      <c r="AB45" s="6" t="e">
        <v>#N/A</v>
      </c>
      <c r="AC45" s="6" t="e">
        <v>#N/A</v>
      </c>
      <c r="AD45" s="6">
        <v>0.0</v>
      </c>
      <c r="AE45" s="6" t="e">
        <v>#N/A</v>
      </c>
      <c r="AF45" s="6" t="e">
        <v>#N/A</v>
      </c>
      <c r="AG45" s="6">
        <v>0.0</v>
      </c>
      <c r="AH45" s="6" t="e">
        <v>#N/A</v>
      </c>
      <c r="AI45" s="6" t="e">
        <v>#N/A</v>
      </c>
      <c r="AJ45" s="6" t="e">
        <v>#N/A</v>
      </c>
      <c r="AK45" s="6" t="e">
        <v>#N/A</v>
      </c>
      <c r="AL45" s="6" t="e">
        <v>#N/A</v>
      </c>
      <c r="AM45" s="6">
        <v>0.0</v>
      </c>
      <c r="AN45" s="6" t="e">
        <v>#N/A</v>
      </c>
      <c r="AO45" s="6">
        <v>0.0</v>
      </c>
      <c r="AP45" s="6" t="e">
        <v>#N/A</v>
      </c>
      <c r="AQ45" s="6">
        <v>0.0</v>
      </c>
      <c r="AR45" s="6" t="e">
        <v>#N/A</v>
      </c>
      <c r="AS45" s="6" t="e">
        <v>#N/A</v>
      </c>
      <c r="AT45" s="6" t="e">
        <v>#N/A</v>
      </c>
      <c r="AU45" s="6" t="e">
        <v>#N/A</v>
      </c>
      <c r="AV45" s="6" t="e">
        <v>#N/A</v>
      </c>
      <c r="AW45" s="6" t="e">
        <v>#N/A</v>
      </c>
      <c r="AX45" s="6" t="e">
        <v>#N/A</v>
      </c>
      <c r="AY45" s="6" t="e">
        <v>#N/A</v>
      </c>
      <c r="AZ45" s="6" t="e">
        <v>#N/A</v>
      </c>
      <c r="BA45" s="6" t="e">
        <v>#N/A</v>
      </c>
      <c r="BB45" s="6" t="e">
        <v>#N/A</v>
      </c>
      <c r="BC45" s="6" t="e">
        <v>#N/A</v>
      </c>
      <c r="BD45" s="6" t="e">
        <v>#N/A</v>
      </c>
      <c r="BE45" s="6" t="e">
        <v>#N/A</v>
      </c>
      <c r="BF45" s="6" t="e">
        <v>#N/A</v>
      </c>
      <c r="BG45" s="6" t="e">
        <v>#N/A</v>
      </c>
      <c r="BH45" s="6" t="e">
        <v>#N/A</v>
      </c>
      <c r="BI45" s="6" t="e">
        <v>#N/A</v>
      </c>
      <c r="BJ45" s="6" t="e">
        <v>#N/A</v>
      </c>
      <c r="BK45" s="6" t="e">
        <v>#N/A</v>
      </c>
      <c r="BL45" s="6" t="e">
        <v>#N/A</v>
      </c>
      <c r="BM45" s="6" t="e">
        <v>#N/A</v>
      </c>
      <c r="BN45" s="6" t="e">
        <v>#N/A</v>
      </c>
      <c r="BO45" s="6" t="e">
        <v>#N/A</v>
      </c>
      <c r="BP45" s="6" t="e">
        <v>#N/A</v>
      </c>
      <c r="BQ45" s="6" t="e">
        <v>#N/A</v>
      </c>
      <c r="BR45" s="6" t="e">
        <v>#N/A</v>
      </c>
      <c r="BS45" s="6" t="e">
        <v>#N/A</v>
      </c>
      <c r="BT45" s="6" t="e">
        <v>#N/A</v>
      </c>
      <c r="BU45" s="6" t="e">
        <v>#N/A</v>
      </c>
      <c r="BV45" s="6" t="e">
        <v>#N/A</v>
      </c>
      <c r="BW45" s="6" t="e">
        <v>#N/A</v>
      </c>
      <c r="BX45" s="6" t="e">
        <v>#N/A</v>
      </c>
      <c r="BY45" s="6" t="e">
        <v>#N/A</v>
      </c>
      <c r="BZ45" s="6" t="e">
        <v>#N/A</v>
      </c>
    </row>
    <row r="46">
      <c r="A46" s="5" t="s">
        <v>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  <c r="O46" s="6">
        <v>0.0</v>
      </c>
      <c r="P46" s="6">
        <v>0.0</v>
      </c>
      <c r="Q46" s="6">
        <v>0.0</v>
      </c>
      <c r="R46" s="6">
        <v>0.0</v>
      </c>
      <c r="S46" s="6">
        <v>0.0</v>
      </c>
      <c r="T46" s="6">
        <v>0.0</v>
      </c>
      <c r="U46" s="6">
        <v>0.0</v>
      </c>
      <c r="V46" s="6">
        <v>0.1</v>
      </c>
      <c r="W46" s="6">
        <v>0.0</v>
      </c>
      <c r="X46" s="6">
        <v>0.0</v>
      </c>
      <c r="Y46" s="6">
        <v>0.0</v>
      </c>
      <c r="Z46" s="6">
        <v>0.0</v>
      </c>
      <c r="AA46" s="6">
        <v>0.0</v>
      </c>
      <c r="AB46" s="6">
        <v>0.0</v>
      </c>
      <c r="AC46" s="6">
        <v>0.0</v>
      </c>
      <c r="AD46" s="6">
        <v>0.0</v>
      </c>
      <c r="AE46" s="6">
        <v>0.0</v>
      </c>
      <c r="AF46" s="6">
        <v>0.0</v>
      </c>
      <c r="AG46" s="6">
        <v>0.0</v>
      </c>
      <c r="AH46" s="6">
        <v>0.0</v>
      </c>
      <c r="AI46" s="6">
        <v>0.0</v>
      </c>
      <c r="AJ46" s="6">
        <v>0.0</v>
      </c>
      <c r="AK46" s="6">
        <v>0.0</v>
      </c>
      <c r="AL46" s="6">
        <v>0.0</v>
      </c>
      <c r="AM46" s="6">
        <v>0.0</v>
      </c>
      <c r="AN46" s="6">
        <v>0.0</v>
      </c>
      <c r="AO46" s="6">
        <v>0.0</v>
      </c>
      <c r="AP46" s="6">
        <v>0.0</v>
      </c>
      <c r="AQ46" s="6">
        <v>0.0</v>
      </c>
      <c r="AR46" s="6">
        <v>0.0</v>
      </c>
      <c r="AS46" s="6">
        <v>0.0</v>
      </c>
      <c r="AT46" s="6">
        <v>0.0</v>
      </c>
      <c r="AU46" s="6">
        <v>0.0</v>
      </c>
      <c r="AV46" s="6">
        <v>0.0</v>
      </c>
      <c r="AW46" s="6">
        <v>0.0</v>
      </c>
      <c r="AX46" s="6">
        <v>0.0</v>
      </c>
      <c r="AY46" s="6">
        <v>0.0</v>
      </c>
      <c r="AZ46" s="6">
        <v>0.0</v>
      </c>
      <c r="BA46" s="6">
        <v>0.0</v>
      </c>
      <c r="BB46" s="6">
        <v>0.0</v>
      </c>
      <c r="BC46" s="6">
        <v>0.0</v>
      </c>
      <c r="BD46" s="6">
        <v>0.0</v>
      </c>
      <c r="BE46" s="6">
        <v>0.0</v>
      </c>
      <c r="BF46" s="6">
        <v>0.0</v>
      </c>
      <c r="BG46" s="6">
        <v>0.0</v>
      </c>
      <c r="BH46" s="6">
        <v>0.0</v>
      </c>
      <c r="BI46" s="6">
        <v>0.0</v>
      </c>
      <c r="BJ46" s="6">
        <v>0.0</v>
      </c>
      <c r="BK46" s="6">
        <v>0.0</v>
      </c>
      <c r="BL46" s="6">
        <v>0.0</v>
      </c>
      <c r="BM46" s="6">
        <v>0.0</v>
      </c>
      <c r="BN46" s="6">
        <v>0.0</v>
      </c>
      <c r="BO46" s="6">
        <v>0.0</v>
      </c>
      <c r="BP46" s="6">
        <v>0.0</v>
      </c>
      <c r="BQ46" s="6">
        <v>0.0</v>
      </c>
      <c r="BR46" s="6">
        <v>0.0</v>
      </c>
      <c r="BS46" s="6">
        <v>0.0</v>
      </c>
      <c r="BT46" s="6">
        <v>0.0</v>
      </c>
      <c r="BU46" s="6">
        <v>0.0</v>
      </c>
      <c r="BV46" s="6">
        <v>0.0</v>
      </c>
      <c r="BW46" s="6">
        <v>0.0</v>
      </c>
      <c r="BX46" s="6">
        <v>0.0</v>
      </c>
      <c r="BY46" s="6">
        <v>0.0</v>
      </c>
      <c r="BZ46" s="6">
        <v>0.0</v>
      </c>
    </row>
    <row r="47">
      <c r="A47" s="5" t="s">
        <v>5</v>
      </c>
      <c r="B47" s="6">
        <v>25.0</v>
      </c>
      <c r="C47" s="6">
        <v>20.0</v>
      </c>
      <c r="D47" s="6">
        <v>5.0</v>
      </c>
      <c r="E47" s="6">
        <v>20.0</v>
      </c>
      <c r="F47" s="6">
        <v>14.0</v>
      </c>
      <c r="G47" s="6">
        <v>20.0</v>
      </c>
      <c r="H47" s="6">
        <v>17.0</v>
      </c>
      <c r="I47" s="6">
        <v>20.0</v>
      </c>
      <c r="J47" s="6">
        <v>8.0</v>
      </c>
      <c r="K47" s="6">
        <v>8.0</v>
      </c>
      <c r="L47" s="6">
        <v>8.0</v>
      </c>
      <c r="M47" s="6">
        <v>8.0</v>
      </c>
      <c r="N47" s="6">
        <v>8.0</v>
      </c>
      <c r="O47" s="6">
        <v>8.0</v>
      </c>
      <c r="P47" s="6">
        <v>6.0</v>
      </c>
      <c r="Q47" s="6">
        <v>7.0</v>
      </c>
      <c r="R47" s="6">
        <v>1.0</v>
      </c>
      <c r="S47" s="6">
        <v>1.0</v>
      </c>
      <c r="T47" s="6">
        <v>0.0</v>
      </c>
      <c r="U47" s="6">
        <v>0.0</v>
      </c>
      <c r="V47" s="6">
        <v>0.1</v>
      </c>
      <c r="W47" s="6">
        <v>0.0</v>
      </c>
      <c r="X47" s="6">
        <v>0.0</v>
      </c>
      <c r="Y47" s="6">
        <v>0.4</v>
      </c>
      <c r="Z47" s="6">
        <v>0.0</v>
      </c>
      <c r="AA47" s="6">
        <v>1.0</v>
      </c>
      <c r="AB47" s="6">
        <v>0.0</v>
      </c>
      <c r="AC47" s="6">
        <v>0.0</v>
      </c>
      <c r="AD47" s="6">
        <v>1.0</v>
      </c>
      <c r="AE47" s="6">
        <v>0.0</v>
      </c>
      <c r="AF47" s="6">
        <v>0.0</v>
      </c>
      <c r="AG47" s="6">
        <v>0.7</v>
      </c>
      <c r="AH47" s="6">
        <v>0.0</v>
      </c>
      <c r="AI47" s="6">
        <v>0.0</v>
      </c>
      <c r="AJ47" s="6">
        <v>0.0</v>
      </c>
      <c r="AK47" s="6">
        <v>0.0</v>
      </c>
      <c r="AL47" s="6">
        <v>0.0</v>
      </c>
      <c r="AM47" s="6">
        <v>1.0</v>
      </c>
      <c r="AN47" s="6">
        <v>0.0</v>
      </c>
      <c r="AO47" s="6">
        <v>1.0</v>
      </c>
      <c r="AP47" s="6">
        <v>0.0</v>
      </c>
      <c r="AQ47" s="6">
        <v>1.0</v>
      </c>
      <c r="AR47" s="6">
        <v>0.0</v>
      </c>
      <c r="AS47" s="6">
        <v>0.0</v>
      </c>
      <c r="AT47" s="6">
        <v>0.0</v>
      </c>
      <c r="AU47" s="6">
        <v>0.0</v>
      </c>
      <c r="AV47" s="6">
        <v>0.0</v>
      </c>
      <c r="AW47" s="6">
        <v>0.0</v>
      </c>
      <c r="AX47" s="6">
        <v>0.0</v>
      </c>
      <c r="AY47" s="6">
        <v>0.0</v>
      </c>
      <c r="AZ47" s="6">
        <v>0.0</v>
      </c>
      <c r="BA47" s="6">
        <v>0.0</v>
      </c>
      <c r="BB47" s="6">
        <v>0.0</v>
      </c>
      <c r="BC47" s="6">
        <v>0.0</v>
      </c>
      <c r="BD47" s="6">
        <v>0.0</v>
      </c>
      <c r="BE47" s="6">
        <v>0.0</v>
      </c>
      <c r="BF47" s="6">
        <v>0.0</v>
      </c>
      <c r="BG47" s="6">
        <v>0.0</v>
      </c>
      <c r="BH47" s="6">
        <v>0.0</v>
      </c>
      <c r="BI47" s="6">
        <v>0.0</v>
      </c>
      <c r="BJ47" s="6">
        <v>0.0</v>
      </c>
      <c r="BK47" s="6">
        <v>0.0</v>
      </c>
      <c r="BL47" s="6">
        <v>0.0</v>
      </c>
      <c r="BM47" s="6">
        <v>0.0</v>
      </c>
      <c r="BN47" s="6">
        <v>0.0</v>
      </c>
      <c r="BO47" s="6">
        <v>0.0</v>
      </c>
      <c r="BP47" s="6">
        <v>0.0</v>
      </c>
      <c r="BQ47" s="6">
        <v>0.0</v>
      </c>
      <c r="BR47" s="6">
        <v>0.0</v>
      </c>
      <c r="BS47" s="6">
        <v>0.0</v>
      </c>
      <c r="BT47" s="6">
        <v>0.0</v>
      </c>
      <c r="BU47" s="6">
        <v>0.0</v>
      </c>
      <c r="BV47" s="6">
        <v>0.0</v>
      </c>
      <c r="BW47" s="6">
        <v>0.0</v>
      </c>
      <c r="BX47" s="6">
        <v>0.0</v>
      </c>
      <c r="BY47" s="6">
        <v>0.0</v>
      </c>
      <c r="BZ47" s="6">
        <v>0.0</v>
      </c>
    </row>
    <row r="48">
      <c r="A48" s="5" t="s">
        <v>6</v>
      </c>
      <c r="B48" s="6">
        <v>38.0</v>
      </c>
      <c r="C48" s="6">
        <v>38.0</v>
      </c>
      <c r="D48" s="6">
        <v>38.0</v>
      </c>
      <c r="E48" s="6">
        <v>38.0</v>
      </c>
      <c r="F48" s="6">
        <v>38.0</v>
      </c>
      <c r="G48" s="6">
        <v>38.0</v>
      </c>
      <c r="H48" s="6">
        <v>38.0</v>
      </c>
      <c r="I48" s="6">
        <v>38.0</v>
      </c>
      <c r="J48" s="6">
        <v>37.0</v>
      </c>
      <c r="K48" s="6">
        <v>37.0</v>
      </c>
      <c r="L48" s="6">
        <v>37.0</v>
      </c>
      <c r="M48" s="6">
        <v>37.0</v>
      </c>
      <c r="N48" s="6">
        <v>37.0</v>
      </c>
      <c r="O48" s="6">
        <v>37.0</v>
      </c>
      <c r="P48" s="6">
        <v>37.0</v>
      </c>
      <c r="Q48" s="6">
        <v>37.0</v>
      </c>
      <c r="R48" s="6">
        <v>26.0</v>
      </c>
      <c r="S48" s="6">
        <v>26.0</v>
      </c>
      <c r="T48" s="6">
        <v>0.0</v>
      </c>
      <c r="U48" s="6">
        <v>0.0</v>
      </c>
      <c r="V48" s="6">
        <v>1.0</v>
      </c>
      <c r="W48" s="6">
        <v>0.0</v>
      </c>
      <c r="X48" s="6">
        <v>0.0</v>
      </c>
      <c r="Y48" s="6">
        <v>27.0</v>
      </c>
      <c r="Z48" s="6">
        <v>1.0</v>
      </c>
      <c r="AA48" s="6">
        <v>28.0</v>
      </c>
      <c r="AB48" s="6">
        <v>0.0</v>
      </c>
      <c r="AC48" s="6">
        <v>1.0</v>
      </c>
      <c r="AD48" s="6">
        <v>26.0</v>
      </c>
      <c r="AE48" s="6">
        <v>1.0</v>
      </c>
      <c r="AF48" s="6">
        <v>0.0</v>
      </c>
      <c r="AG48" s="6">
        <v>25.0</v>
      </c>
      <c r="AH48" s="6">
        <v>0.0</v>
      </c>
      <c r="AI48" s="6">
        <v>0.0</v>
      </c>
      <c r="AJ48" s="6">
        <v>0.0</v>
      </c>
      <c r="AK48" s="6">
        <v>0.0</v>
      </c>
      <c r="AL48" s="6">
        <v>0.0</v>
      </c>
      <c r="AM48" s="6">
        <v>25.0</v>
      </c>
      <c r="AN48" s="6">
        <v>0.0</v>
      </c>
      <c r="AO48" s="6">
        <v>29.0</v>
      </c>
      <c r="AP48" s="6">
        <v>0.0</v>
      </c>
      <c r="AQ48" s="6">
        <v>28.0</v>
      </c>
      <c r="AR48" s="6">
        <v>0.0</v>
      </c>
      <c r="AS48" s="6">
        <v>0.0</v>
      </c>
      <c r="AT48" s="6">
        <v>1.0</v>
      </c>
      <c r="AU48" s="6">
        <v>0.0</v>
      </c>
      <c r="AV48" s="6">
        <v>0.0</v>
      </c>
      <c r="AW48" s="6">
        <v>0.0</v>
      </c>
      <c r="AX48" s="6">
        <v>0.0</v>
      </c>
      <c r="AY48" s="6">
        <v>0.0</v>
      </c>
      <c r="AZ48" s="6">
        <v>0.0</v>
      </c>
      <c r="BA48" s="6">
        <v>0.0</v>
      </c>
      <c r="BB48" s="6">
        <v>0.0</v>
      </c>
      <c r="BC48" s="6">
        <v>0.0</v>
      </c>
      <c r="BD48" s="6">
        <v>0.0</v>
      </c>
      <c r="BE48" s="6">
        <v>0.0</v>
      </c>
      <c r="BF48" s="6">
        <v>0.0</v>
      </c>
      <c r="BG48" s="6">
        <v>0.0</v>
      </c>
      <c r="BH48" s="6">
        <v>0.0</v>
      </c>
      <c r="BI48" s="6">
        <v>0.0</v>
      </c>
      <c r="BJ48" s="6">
        <v>0.0</v>
      </c>
      <c r="BK48" s="6">
        <v>0.0</v>
      </c>
      <c r="BL48" s="6">
        <v>0.0</v>
      </c>
      <c r="BM48" s="6">
        <v>0.0</v>
      </c>
      <c r="BN48" s="6">
        <v>0.0</v>
      </c>
      <c r="BO48" s="6">
        <v>0.0</v>
      </c>
      <c r="BP48" s="6">
        <v>0.0</v>
      </c>
      <c r="BQ48" s="6">
        <v>0.0</v>
      </c>
      <c r="BR48" s="6">
        <v>0.0</v>
      </c>
      <c r="BS48" s="6">
        <v>0.0</v>
      </c>
      <c r="BT48" s="6">
        <v>0.0</v>
      </c>
      <c r="BU48" s="6">
        <v>0.0</v>
      </c>
      <c r="BV48" s="6">
        <v>0.0</v>
      </c>
      <c r="BW48" s="6">
        <v>0.0</v>
      </c>
      <c r="BX48" s="6">
        <v>0.0</v>
      </c>
      <c r="BY48" s="6">
        <v>0.0</v>
      </c>
      <c r="BZ48" s="6">
        <v>0.0</v>
      </c>
    </row>
    <row r="49">
      <c r="A49" s="5" t="s">
        <v>7</v>
      </c>
      <c r="B49" s="6">
        <v>6.0</v>
      </c>
      <c r="C49" s="6">
        <v>21.0</v>
      </c>
      <c r="D49" s="6">
        <v>3.0</v>
      </c>
      <c r="E49" s="6">
        <v>28.0</v>
      </c>
      <c r="F49" s="6">
        <v>26.0</v>
      </c>
      <c r="G49" s="6">
        <v>35.0</v>
      </c>
      <c r="H49" s="6">
        <v>32.0</v>
      </c>
      <c r="I49" s="6">
        <v>34.0</v>
      </c>
      <c r="J49" s="6">
        <v>3.0</v>
      </c>
      <c r="K49" s="6">
        <v>4.0</v>
      </c>
      <c r="L49" s="6">
        <v>12.0</v>
      </c>
      <c r="M49" s="6">
        <v>11.0</v>
      </c>
      <c r="N49" s="6">
        <v>9.0</v>
      </c>
      <c r="O49" s="6">
        <v>10.0</v>
      </c>
      <c r="P49" s="6">
        <v>9.0</v>
      </c>
      <c r="Q49" s="6">
        <v>16.0</v>
      </c>
      <c r="R49" s="6">
        <v>18.0</v>
      </c>
      <c r="S49" s="6">
        <v>21.0</v>
      </c>
      <c r="T49" s="6">
        <v>0.0</v>
      </c>
      <c r="U49" s="6">
        <v>0.0</v>
      </c>
      <c r="V49" s="6">
        <v>0.0</v>
      </c>
      <c r="W49" s="6">
        <v>0.0</v>
      </c>
      <c r="X49" s="6">
        <v>0.0</v>
      </c>
      <c r="Y49" s="6">
        <v>23.0</v>
      </c>
      <c r="Z49" s="6">
        <v>1.0</v>
      </c>
      <c r="AA49" s="6">
        <v>16.0</v>
      </c>
      <c r="AB49" s="6">
        <v>0.0</v>
      </c>
      <c r="AC49" s="6">
        <v>1.0</v>
      </c>
      <c r="AD49" s="6">
        <v>23.0</v>
      </c>
      <c r="AE49" s="6">
        <v>1.0</v>
      </c>
      <c r="AF49" s="6">
        <v>0.0</v>
      </c>
      <c r="AG49" s="6">
        <v>22.0</v>
      </c>
      <c r="AH49" s="6">
        <v>0.0</v>
      </c>
      <c r="AI49" s="6">
        <v>0.0</v>
      </c>
      <c r="AJ49" s="6">
        <v>0.0</v>
      </c>
      <c r="AK49" s="6">
        <v>0.0</v>
      </c>
      <c r="AL49" s="6">
        <v>0.0</v>
      </c>
      <c r="AM49" s="6">
        <v>19.0</v>
      </c>
      <c r="AN49" s="6">
        <v>0.0</v>
      </c>
      <c r="AO49" s="6">
        <v>24.0</v>
      </c>
      <c r="AP49" s="6">
        <v>0.0</v>
      </c>
      <c r="AQ49" s="6">
        <v>24.0</v>
      </c>
      <c r="AR49" s="6">
        <v>0.0</v>
      </c>
      <c r="AS49" s="6">
        <v>0.0</v>
      </c>
      <c r="AT49" s="6">
        <v>1.0</v>
      </c>
      <c r="AU49" s="6">
        <v>0.0</v>
      </c>
      <c r="AV49" s="6">
        <v>0.0</v>
      </c>
      <c r="AW49" s="6">
        <v>0.0</v>
      </c>
      <c r="AX49" s="6">
        <v>0.0</v>
      </c>
      <c r="AY49" s="6">
        <v>0.0</v>
      </c>
      <c r="AZ49" s="6">
        <v>0.0</v>
      </c>
      <c r="BA49" s="6">
        <v>0.0</v>
      </c>
      <c r="BB49" s="6">
        <v>0.0</v>
      </c>
      <c r="BC49" s="6">
        <v>0.0</v>
      </c>
      <c r="BD49" s="6">
        <v>0.0</v>
      </c>
      <c r="BE49" s="6">
        <v>0.0</v>
      </c>
      <c r="BF49" s="6">
        <v>0.0</v>
      </c>
      <c r="BG49" s="6">
        <v>0.0</v>
      </c>
      <c r="BH49" s="6">
        <v>0.0</v>
      </c>
      <c r="BI49" s="6">
        <v>0.0</v>
      </c>
      <c r="BJ49" s="6">
        <v>0.0</v>
      </c>
      <c r="BK49" s="6">
        <v>0.0</v>
      </c>
      <c r="BL49" s="6">
        <v>0.0</v>
      </c>
      <c r="BM49" s="6">
        <v>0.0</v>
      </c>
      <c r="BN49" s="6">
        <v>0.0</v>
      </c>
      <c r="BO49" s="6">
        <v>0.0</v>
      </c>
      <c r="BP49" s="6">
        <v>0.0</v>
      </c>
      <c r="BQ49" s="6">
        <v>0.0</v>
      </c>
      <c r="BR49" s="6">
        <v>0.0</v>
      </c>
      <c r="BS49" s="6">
        <v>0.0</v>
      </c>
      <c r="BT49" s="6">
        <v>0.0</v>
      </c>
      <c r="BU49" s="6">
        <v>0.0</v>
      </c>
      <c r="BV49" s="6">
        <v>0.0</v>
      </c>
      <c r="BW49" s="6">
        <v>0.0</v>
      </c>
      <c r="BX49" s="6">
        <v>0.0</v>
      </c>
      <c r="BY49" s="6">
        <v>0.0</v>
      </c>
      <c r="BZ49" s="6">
        <v>0.0</v>
      </c>
    </row>
    <row r="50">
      <c r="A50" s="7" t="s">
        <v>8</v>
      </c>
      <c r="B50" s="8" t="s">
        <v>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</row>
  </sheetData>
  <hyperlinks>
    <hyperlink r:id="rId1" ref="B50"/>
  </hyperlinks>
  <drawing r:id="rId2"/>
</worksheet>
</file>