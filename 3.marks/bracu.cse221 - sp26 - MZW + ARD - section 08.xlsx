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Marks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<sst xmlns="http://schemas.openxmlformats.org/spreadsheetml/2006/main" count="10" uniqueCount="10">
  <si>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</t>
  </si>
  <si>
    <t>mean</t>
  </si>
  <si>
    <t>median</t>
  </si>
  <si>
    <t>mode</t>
  </si>
  <si>
    <t>min</t>
  </si>
  <si>
    <t>max</t>
  </si>
  <si>
    <t>count</t>
  </si>
  <si>
    <t>zeros</t>
  </si>
  <si>
    <t>08</t>
  </si>
  <si>
    <t>https://docs.google.com/spreadsheets/d/1S7MXys4HWFTr23f_BYm3j8k3QTmT5Y2IpRcKCIuNR5Q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</si>
</sst>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2" numFmtId="49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vertical="center"/>
    </xf>
    <xf borderId="1" fillId="2" fontId="2" numFmtId="49" xfId="0" applyAlignment="1" applyBorder="1" applyFont="1" applyNumberFormat="1">
      <alignment horizontal="left" shrinkToFit="0" vertical="center" wrapText="0"/>
    </xf>
    <xf borderId="1" fillId="2" fontId="4" numFmtId="49" xfId="0" applyBorder="1" applyFont="1" applyNumberFormat="1"/>
    <xf borderId="0" fillId="0" fontId="4" numFmtId="0" xfId="0" applyFont="1"/>
    <xf borderId="1" fillId="2" fontId="4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MXys4HWFTr23f_BYm3j8k3QTmT5Y2IpRcKCIuNR5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>
        <f>counta(A3:A42)</f>
        <v>18</v>
      </c>
      <c r="B1" s="1" t="str">
        <f>IFERROR(__xludf.DUMMYFUNCTION("importrange(B50,""FinalMarks!C1:2"")"),"25")</f>
        <v>25</v>
      </c>
      <c r="C1" s="1" t="str">
        <f>IFERROR(__xludf.DUMMYFUNCTION("""COMPUTED_VALUE"""),"20")</f>
        <v>20</v>
      </c>
      <c r="D1" s="1" t="str">
        <f>IFERROR(__xludf.DUMMYFUNCTION("""COMPUTED_VALUE"""),"5")</f>
        <v>5</v>
      </c>
      <c r="E1" s="1" t="str">
        <f>IFERROR(__xludf.DUMMYFUNCTION("""COMPUTED_VALUE"""),"2")</f>
        <v>2</v>
      </c>
      <c r="F1" s="1" t="str">
        <f>IFERROR(__xludf.DUMMYFUNCTION("""COMPUTED_VALUE"""),"2")</f>
        <v>2</v>
      </c>
      <c r="G1" s="1" t="str">
        <f>IFERROR(__xludf.DUMMYFUNCTION("""COMPUTED_VALUE"""),"1")</f>
        <v>1</v>
      </c>
      <c r="H1" s="1" t="str">
        <f>IFERROR(__xludf.DUMMYFUNCTION("""COMPUTED_VALUE"""),"2")</f>
        <v>2</v>
      </c>
      <c r="I1" s="1" t="str">
        <f>IFERROR(__xludf.DUMMYFUNCTION("""COMPUTED_VALUE"""),"2")</f>
        <v>2</v>
      </c>
      <c r="J1" s="1" t="str">
        <f>IFERROR(__xludf.DUMMYFUNCTION("""COMPUTED_VALUE"""),"8")</f>
        <v>8</v>
      </c>
      <c r="K1" s="1" t="str">
        <f>IFERROR(__xludf.DUMMYFUNCTION("""COMPUTED_VALUE"""),"8")</f>
        <v>8</v>
      </c>
      <c r="L1" s="1" t="str">
        <f>IFERROR(__xludf.DUMMYFUNCTION("""COMPUTED_VALUE"""),"8")</f>
        <v>8</v>
      </c>
      <c r="M1" s="1" t="str">
        <f>IFERROR(__xludf.DUMMYFUNCTION("""COMPUTED_VALUE"""),"8")</f>
        <v>8</v>
      </c>
      <c r="N1" s="1" t="str">
        <f>IFERROR(__xludf.DUMMYFUNCTION("""COMPUTED_VALUE"""),"8")</f>
        <v>8</v>
      </c>
      <c r="O1" s="1" t="str">
        <f>IFERROR(__xludf.DUMMYFUNCTION("""COMPUTED_VALUE"""),"8")</f>
        <v>8</v>
      </c>
      <c r="P1" s="1" t="str">
        <f>IFERROR(__xludf.DUMMYFUNCTION("""COMPUTED_VALUE"""),"6")</f>
        <v>6</v>
      </c>
      <c r="Q1" s="1" t="str">
        <f>IFERROR(__xludf.DUMMYFUNCTION("""COMPUTED_VALUE"""),"7")</f>
        <v>7</v>
      </c>
      <c r="R1" s="1" t="str">
        <f>IFERROR(__xludf.DUMMYFUNCTION("""COMPUTED_VALUE"""),"1")</f>
        <v>1</v>
      </c>
      <c r="S1" s="1" t="str">
        <f>IFERROR(__xludf.DUMMYFUNCTION("""COMPUTED_VALUE"""),"1")</f>
        <v>1</v>
      </c>
      <c r="T1" s="1" t="str">
        <f>IFERROR(__xludf.DUMMYFUNCTION("""COMPUTED_VALUE"""),"1")</f>
        <v>1</v>
      </c>
      <c r="U1" s="1" t="str">
        <f>IFERROR(__xludf.DUMMYFUNCTION("""COMPUTED_VALUE"""),"1")</f>
        <v>1</v>
      </c>
      <c r="V1" s="1" t="str">
        <f>IFERROR(__xludf.DUMMYFUNCTION("""COMPUTED_VALUE"""),"1")</f>
        <v>1</v>
      </c>
      <c r="W1" s="1" t="str">
        <f>IFERROR(__xludf.DUMMYFUNCTION("""COMPUTED_VALUE"""),"1")</f>
        <v>1</v>
      </c>
      <c r="X1" s="1" t="str">
        <f>IFERROR(__xludf.DUMMYFUNCTION("""COMPUTED_VALUE"""),"2")</f>
        <v>2</v>
      </c>
      <c r="Y1" s="1" t="str">
        <f>IFERROR(__xludf.DUMMYFUNCTION("""COMPUTED_VALUE"""),"2")</f>
        <v>2</v>
      </c>
      <c r="Z1" s="1" t="str">
        <f>IFERROR(__xludf.DUMMYFUNCTION("""COMPUTED_VALUE"""),"2")</f>
        <v>2</v>
      </c>
      <c r="AA1" s="1" t="str">
        <f>IFERROR(__xludf.DUMMYFUNCTION("""COMPUTED_VALUE"""),"2")</f>
        <v>2</v>
      </c>
      <c r="AB1" s="1" t="str">
        <f>IFERROR(__xludf.DUMMYFUNCTION("""COMPUTED_VALUE"""),"2")</f>
        <v>2</v>
      </c>
      <c r="AC1" s="1" t="str">
        <f>IFERROR(__xludf.DUMMYFUNCTION("""COMPUTED_VALUE"""),"2")</f>
        <v>2</v>
      </c>
      <c r="AD1" s="1" t="str">
        <f>IFERROR(__xludf.DUMMYFUNCTION("""COMPUTED_VALUE"""),"3")</f>
        <v>3</v>
      </c>
      <c r="AE1" s="1" t="str">
        <f>IFERROR(__xludf.DUMMYFUNCTION("""COMPUTED_VALUE"""),"3")</f>
        <v>3</v>
      </c>
      <c r="AF1" s="1" t="str">
        <f>IFERROR(__xludf.DUMMYFUNCTION("""COMPUTED_VALUE"""),"3")</f>
        <v>3</v>
      </c>
      <c r="AG1" s="1" t="str">
        <f>IFERROR(__xludf.DUMMYFUNCTION("""COMPUTED_VALUE"""),"4")</f>
        <v>4</v>
      </c>
      <c r="AH1" s="1" t="str">
        <f>IFERROR(__xludf.DUMMYFUNCTION("""COMPUTED_VALUE"""),"4")</f>
        <v>4</v>
      </c>
      <c r="AI1" s="1" t="str">
        <f>IFERROR(__xludf.DUMMYFUNCTION("""COMPUTED_VALUE"""),"4")</f>
        <v>4</v>
      </c>
      <c r="AJ1" s="1" t="str">
        <f>IFERROR(__xludf.DUMMYFUNCTION("""COMPUTED_VALUE"""),"4")</f>
        <v>4</v>
      </c>
      <c r="AK1" s="1" t="str">
        <f>IFERROR(__xludf.DUMMYFUNCTION("""COMPUTED_VALUE"""),"4")</f>
        <v>4</v>
      </c>
      <c r="AL1" s="1" t="str">
        <f>IFERROR(__xludf.DUMMYFUNCTION("""COMPUTED_VALUE"""),"4")</f>
        <v>4</v>
      </c>
      <c r="AM1" s="1" t="str">
        <f>IFERROR(__xludf.DUMMYFUNCTION("""COMPUTED_VALUE"""),"4")</f>
        <v>4</v>
      </c>
      <c r="AN1" s="1" t="str">
        <f>IFERROR(__xludf.DUMMYFUNCTION("""COMPUTED_VALUE"""),"5")</f>
        <v>5</v>
      </c>
      <c r="AO1" s="1" t="str">
        <f>IFERROR(__xludf.DUMMYFUNCTION("""COMPUTED_VALUE"""),"5")</f>
        <v>5</v>
      </c>
      <c r="AP1" s="1" t="str">
        <f>IFERROR(__xludf.DUMMYFUNCTION("""COMPUTED_VALUE"""),"5")</f>
        <v>5</v>
      </c>
      <c r="AQ1" s="1" t="str">
        <f>IFERROR(__xludf.DUMMYFUNCTION("""COMPUTED_VALUE"""),"5")</f>
        <v>5</v>
      </c>
      <c r="AR1" s="1" t="str">
        <f>IFERROR(__xludf.DUMMYFUNCTION("""COMPUTED_VALUE"""),"5")</f>
        <v>5</v>
      </c>
      <c r="AS1" s="1" t="str">
        <f>IFERROR(__xludf.DUMMYFUNCTION("""COMPUTED_VALUE"""),"5")</f>
        <v>5</v>
      </c>
      <c r="AT1" s="1" t="str">
        <f>IFERROR(__xludf.DUMMYFUNCTION("""COMPUTED_VALUE"""),"5")</f>
        <v>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1" t="s">
        <v>0</v>
      </c>
      <c r="B2" s="1" t="str">
        <f>IFERROR(__xludf.DUMMYFUNCTION("""COMPUTED_VALUE"""),"Total")</f>
        <v>Total</v>
      </c>
      <c r="C2" s="1" t="str">
        <f>IFERROR(__xludf.DUMMYFUNCTION("""COMPUTED_VALUE"""),"Quiz")</f>
        <v>Quiz</v>
      </c>
      <c r="D2" s="1" t="str">
        <f>IFERROR(__xludf.DUMMYFUNCTION("""COMPUTED_VALUE"""),"Assign")</f>
        <v>Assign</v>
      </c>
      <c r="E2" s="1" t="str">
        <f>IFERROR(__xludf.DUMMYFUNCTION("""COMPUTED_VALUE"""),"Quiz1")</f>
        <v>Quiz1</v>
      </c>
      <c r="F2" s="1" t="str">
        <f>IFERROR(__xludf.DUMMYFUNCTION("""COMPUTED_VALUE"""),"Quiz2")</f>
        <v>Quiz2</v>
      </c>
      <c r="G2" s="1" t="str">
        <f>IFERROR(__xludf.DUMMYFUNCTION("""COMPUTED_VALUE"""),"Quiz3")</f>
        <v>Quiz3</v>
      </c>
      <c r="H2" s="1" t="str">
        <f>IFERROR(__xludf.DUMMYFUNCTION("""COMPUTED_VALUE"""),"Quiz4")</f>
        <v>Quiz4</v>
      </c>
      <c r="I2" s="1" t="str">
        <f>IFERROR(__xludf.DUMMYFUNCTION("""COMPUTED_VALUE"""),"Quiz5")</f>
        <v>Quiz5</v>
      </c>
      <c r="J2" s="1" t="str">
        <f>IFERROR(__xludf.DUMMYFUNCTION("""COMPUTED_VALUE"""),"Assign1")</f>
        <v>Assign1</v>
      </c>
      <c r="K2" s="1" t="str">
        <f>IFERROR(__xludf.DUMMYFUNCTION("""COMPUTED_VALUE"""),"Assign2")</f>
        <v>Assign2</v>
      </c>
      <c r="L2" s="1" t="str">
        <f>IFERROR(__xludf.DUMMYFUNCTION("""COMPUTED_VALUE"""),"Assign3")</f>
        <v>Assign3</v>
      </c>
      <c r="M2" s="1" t="str">
        <f>IFERROR(__xludf.DUMMYFUNCTION("""COMPUTED_VALUE"""),"Assign4")</f>
        <v>Assign4</v>
      </c>
      <c r="N2" s="1" t="str">
        <f>IFERROR(__xludf.DUMMYFUNCTION("""COMPUTED_VALUE"""),"Assign5")</f>
        <v>Assign5</v>
      </c>
      <c r="O2" s="1" t="str">
        <f>IFERROR(__xludf.DUMMYFUNCTION("""COMPUTED_VALUE"""),"Assign6")</f>
        <v>Assign6</v>
      </c>
      <c r="P2" s="1" t="str">
        <f>IFERROR(__xludf.DUMMYFUNCTION("""COMPUTED_VALUE"""),"Assign7")</f>
        <v>Assign7</v>
      </c>
      <c r="Q2" s="1" t="str">
        <f>IFERROR(__xludf.DUMMYFUNCTION("""COMPUTED_VALUE"""),"Assign8")</f>
        <v>Assign8</v>
      </c>
      <c r="R2" s="1" t="str">
        <f>IFERROR(__xludf.DUMMYFUNCTION("""COMPUTED_VALUE"""),"_202")</f>
        <v>_202</v>
      </c>
      <c r="S2" s="1" t="str">
        <f>IFERROR(__xludf.DUMMYFUNCTION("""COMPUTED_VALUE"""),"_205")</f>
        <v>_205</v>
      </c>
      <c r="T2" s="1" t="str">
        <f>IFERROR(__xludf.DUMMYFUNCTION("""COMPUTED_VALUE"""),"_206")</f>
        <v>_206</v>
      </c>
      <c r="U2" s="1" t="str">
        <f>IFERROR(__xludf.DUMMYFUNCTION("""COMPUTED_VALUE"""),"_207")</f>
        <v>_207</v>
      </c>
      <c r="V2" s="1" t="str">
        <f>IFERROR(__xludf.DUMMYFUNCTION("""COMPUTED_VALUE"""),"_210")</f>
        <v>_210</v>
      </c>
      <c r="W2" s="1" t="str">
        <f>IFERROR(__xludf.DUMMYFUNCTION("""COMPUTED_VALUE"""),"_218")</f>
        <v>_218</v>
      </c>
      <c r="X2" s="1" t="str">
        <f>IFERROR(__xludf.DUMMYFUNCTION("""COMPUTED_VALUE"""),"_307")</f>
        <v>_307</v>
      </c>
      <c r="Y2" s="1" t="str">
        <f>IFERROR(__xludf.DUMMYFUNCTION("""COMPUTED_VALUE"""),"_311")</f>
        <v>_311</v>
      </c>
      <c r="Z2" s="1" t="str">
        <f>IFERROR(__xludf.DUMMYFUNCTION("""COMPUTED_VALUE"""),"_323")</f>
        <v>_323</v>
      </c>
      <c r="AA2" s="1" t="str">
        <f>IFERROR(__xludf.DUMMYFUNCTION("""COMPUTED_VALUE"""),"_402")</f>
        <v>_402</v>
      </c>
      <c r="AB2" s="1" t="str">
        <f>IFERROR(__xludf.DUMMYFUNCTION("""COMPUTED_VALUE"""),"_410")</f>
        <v>_410</v>
      </c>
      <c r="AC2" s="1" t="str">
        <f>IFERROR(__xludf.DUMMYFUNCTION("""COMPUTED_VALUE"""),"_414")</f>
        <v>_414</v>
      </c>
      <c r="AD2" s="1" t="str">
        <f>IFERROR(__xludf.DUMMYFUNCTION("""COMPUTED_VALUE"""),"_518")</f>
        <v>_518</v>
      </c>
      <c r="AE2" s="1" t="str">
        <f>IFERROR(__xludf.DUMMYFUNCTION("""COMPUTED_VALUE"""),"_522")</f>
        <v>_522</v>
      </c>
      <c r="AF2" s="1" t="str">
        <f>IFERROR(__xludf.DUMMYFUNCTION("""COMPUTED_VALUE"""),"_526")</f>
        <v>_526</v>
      </c>
      <c r="AG2" s="1" t="str">
        <f>IFERROR(__xludf.DUMMYFUNCTION("""COMPUTED_VALUE"""),"_605")</f>
        <v>_605</v>
      </c>
      <c r="AH2" s="1" t="str">
        <f>IFERROR(__xludf.DUMMYFUNCTION("""COMPUTED_VALUE"""),"_606")</f>
        <v>_606</v>
      </c>
      <c r="AI2" s="1" t="str">
        <f>IFERROR(__xludf.DUMMYFUNCTION("""COMPUTED_VALUE"""),"_610")</f>
        <v>_610</v>
      </c>
      <c r="AJ2" s="1" t="str">
        <f>IFERROR(__xludf.DUMMYFUNCTION("""COMPUTED_VALUE"""),"_611")</f>
        <v>_611</v>
      </c>
      <c r="AK2" s="1" t="str">
        <f>IFERROR(__xludf.DUMMYFUNCTION("""COMPUTED_VALUE"""),"_613")</f>
        <v>_613</v>
      </c>
      <c r="AL2" s="1" t="str">
        <f>IFERROR(__xludf.DUMMYFUNCTION("""COMPUTED_VALUE"""),"_614")</f>
        <v>_614</v>
      </c>
      <c r="AM2" s="1" t="str">
        <f>IFERROR(__xludf.DUMMYFUNCTION("""COMPUTED_VALUE"""),"_618")</f>
        <v>_618</v>
      </c>
      <c r="AN2" s="1" t="str">
        <f>IFERROR(__xludf.DUMMYFUNCTION("""COMPUTED_VALUE"""),"_706")</f>
        <v>_706</v>
      </c>
      <c r="AO2" s="1" t="str">
        <f>IFERROR(__xludf.DUMMYFUNCTION("""COMPUTED_VALUE"""),"_714")</f>
        <v>_714</v>
      </c>
      <c r="AP2" s="1" t="str">
        <f>IFERROR(__xludf.DUMMYFUNCTION("""COMPUTED_VALUE"""),"_715")</f>
        <v>_715</v>
      </c>
      <c r="AQ2" s="1" t="str">
        <f>IFERROR(__xludf.DUMMYFUNCTION("""COMPUTED_VALUE"""),"_717")</f>
        <v>_717</v>
      </c>
      <c r="AR2" s="1" t="str">
        <f>IFERROR(__xludf.DUMMYFUNCTION("""COMPUTED_VALUE"""),"_718")</f>
        <v>_718</v>
      </c>
      <c r="AS2" s="1" t="str">
        <f>IFERROR(__xludf.DUMMYFUNCTION("""COMPUTED_VALUE"""),"_722")</f>
        <v>_722</v>
      </c>
      <c r="AT2" s="1" t="str">
        <f>IFERROR(__xludf.DUMMYFUNCTION("""COMPUTED_VALUE"""),"_723")</f>
        <v>_723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>
      <c r="A3" s="2" t="str">
        <f>IFERROR(__xludf.DUMMYFUNCTION("let(rng,query(importrange(B50,""FinalMarks!A3:BZ""),""select * where Col1 = '"" &amp; A50 &amp; ""'""),choosecols(rng,sequence(1,columns(rng)-1,2,1)))"),"22201902")</f>
        <v>22201902</v>
      </c>
      <c r="B3" s="3">
        <f>IFERROR(__xludf.DUMMYFUNCTION("""COMPUTED_VALUE"""),3.132075471698113)</f>
        <v>3.132075472</v>
      </c>
      <c r="C3" s="3">
        <f>IFERROR(__xludf.DUMMYFUNCTION("""COMPUTED_VALUE"""),2.0)</f>
        <v>2</v>
      </c>
      <c r="D3" s="3">
        <f>IFERROR(__xludf.DUMMYFUNCTION("""COMPUTED_VALUE"""),1.1320754716981132)</f>
        <v>1.132075472</v>
      </c>
      <c r="E3" s="3">
        <f>IFERROR(__xludf.DUMMYFUNCTION("""COMPUTED_VALUE"""),2.0)</f>
        <v>2</v>
      </c>
      <c r="F3" s="3">
        <f>IFERROR(__xludf.DUMMYFUNCTION("""COMPUTED_VALUE"""),2.0)</f>
        <v>2</v>
      </c>
      <c r="G3" s="3">
        <f>IFERROR(__xludf.DUMMYFUNCTION("""COMPUTED_VALUE"""),0.0)</f>
        <v>0</v>
      </c>
      <c r="H3" s="3">
        <f>IFERROR(__xludf.DUMMYFUNCTION("""COMPUTED_VALUE"""),2.0)</f>
        <v>2</v>
      </c>
      <c r="I3" s="3">
        <f>IFERROR(__xludf.DUMMYFUNCTION("""COMPUTED_VALUE"""),2.0)</f>
        <v>2</v>
      </c>
      <c r="J3" s="3">
        <f>IFERROR(__xludf.DUMMYFUNCTION("""COMPUTED_VALUE"""),0.0)</f>
        <v>0</v>
      </c>
      <c r="K3" s="3">
        <f>IFERROR(__xludf.DUMMYFUNCTION("""COMPUTED_VALUE"""),0.0)</f>
        <v>0</v>
      </c>
      <c r="L3" s="3">
        <f>IFERROR(__xludf.DUMMYFUNCTION("""COMPUTED_VALUE"""),1.0)</f>
        <v>1</v>
      </c>
      <c r="M3" s="3">
        <f>IFERROR(__xludf.DUMMYFUNCTION("""COMPUTED_VALUE"""),0.0)</f>
        <v>0</v>
      </c>
      <c r="N3" s="3">
        <f>IFERROR(__xludf.DUMMYFUNCTION("""COMPUTED_VALUE"""),0.0)</f>
        <v>0</v>
      </c>
      <c r="O3" s="3">
        <f>IFERROR(__xludf.DUMMYFUNCTION("""COMPUTED_VALUE"""),6.0)</f>
        <v>6</v>
      </c>
      <c r="P3" s="3">
        <f>IFERROR(__xludf.DUMMYFUNCTION("""COMPUTED_VALUE"""),0.0)</f>
        <v>0</v>
      </c>
      <c r="Q3" s="3">
        <f>IFERROR(__xludf.DUMMYFUNCTION("""COMPUTED_VALUE"""),5.0)</f>
        <v>5</v>
      </c>
      <c r="R3" s="3"/>
      <c r="S3" s="3">
        <f>IFERROR(__xludf.DUMMYFUNCTION("""COMPUTED_VALUE"""),0.1)</f>
        <v>0.1</v>
      </c>
      <c r="T3" s="3"/>
      <c r="U3" s="3"/>
      <c r="V3" s="3">
        <f>IFERROR(__xludf.DUMMYFUNCTION("""COMPUTED_VALUE"""),0.1)</f>
        <v>0.1</v>
      </c>
      <c r="W3" s="3"/>
      <c r="X3" s="3"/>
      <c r="Y3" s="3"/>
      <c r="Z3" s="3">
        <f>IFERROR(__xludf.DUMMYFUNCTION("""COMPUTED_VALUE"""),0.1)</f>
        <v>0.1</v>
      </c>
      <c r="AA3" s="3"/>
      <c r="AB3" s="3"/>
      <c r="AC3" s="3">
        <f>IFERROR(__xludf.DUMMYFUNCTION("""COMPUTED_VALUE"""),0.1)</f>
        <v>0.1</v>
      </c>
      <c r="AD3" s="3"/>
      <c r="AE3" s="3"/>
      <c r="AF3" s="3"/>
      <c r="AG3" s="3">
        <f>IFERROR(__xludf.DUMMYFUNCTION("""COMPUTED_VALUE"""),0.1)</f>
        <v>0.1</v>
      </c>
      <c r="AH3" s="3"/>
      <c r="AI3" s="3">
        <f>IFERROR(__xludf.DUMMYFUNCTION("""COMPUTED_VALUE"""),0.1)</f>
        <v>0.1</v>
      </c>
      <c r="AJ3" s="3"/>
      <c r="AK3" s="3"/>
      <c r="AL3" s="3"/>
      <c r="AM3" s="3"/>
      <c r="AN3" s="3"/>
      <c r="AO3" s="3">
        <f>IFERROR(__xludf.DUMMYFUNCTION("""COMPUTED_VALUE"""),0.1)</f>
        <v>0.1</v>
      </c>
      <c r="AP3" s="3"/>
      <c r="AQ3" s="3"/>
      <c r="AR3" s="3"/>
      <c r="AS3" s="3"/>
      <c r="AT3" s="3">
        <f>IFERROR(__xludf.DUMMYFUNCTION("""COMPUTED_VALUE"""),0.1)</f>
        <v>0.1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>
      <c r="A4" s="2" t="str">
        <f>IFERROR(__xludf.DUMMYFUNCTION("""COMPUTED_VALUE"""),"23101019")</f>
        <v>23101019</v>
      </c>
      <c r="B4" s="3">
        <f>IFERROR(__xludf.DUMMYFUNCTION("""COMPUTED_VALUE"""),4.245283018867925)</f>
        <v>4.245283019</v>
      </c>
      <c r="C4" s="3">
        <f>IFERROR(__xludf.DUMMYFUNCTION("""COMPUTED_VALUE"""),0.0)</f>
        <v>0</v>
      </c>
      <c r="D4" s="3">
        <f>IFERROR(__xludf.DUMMYFUNCTION("""COMPUTED_VALUE"""),4.245283018867925)</f>
        <v>4.245283019</v>
      </c>
      <c r="E4" s="3">
        <f>IFERROR(__xludf.DUMMYFUNCTION("""COMPUTED_VALUE"""),0.0)</f>
        <v>0</v>
      </c>
      <c r="F4" s="3">
        <f>IFERROR(__xludf.DUMMYFUNCTION("""COMPUTED_VALUE"""),0.0)</f>
        <v>0</v>
      </c>
      <c r="G4" s="3">
        <f>IFERROR(__xludf.DUMMYFUNCTION("""COMPUTED_VALUE"""),0.0)</f>
        <v>0</v>
      </c>
      <c r="H4" s="3">
        <f>IFERROR(__xludf.DUMMYFUNCTION("""COMPUTED_VALUE"""),0.0)</f>
        <v>0</v>
      </c>
      <c r="I4" s="3">
        <f>IFERROR(__xludf.DUMMYFUNCTION("""COMPUTED_VALUE"""),0.0)</f>
        <v>0</v>
      </c>
      <c r="J4" s="3">
        <f>IFERROR(__xludf.DUMMYFUNCTION("""COMPUTED_VALUE"""),8.0)</f>
        <v>8</v>
      </c>
      <c r="K4" s="3">
        <f>IFERROR(__xludf.DUMMYFUNCTION("""COMPUTED_VALUE"""),8.0)</f>
        <v>8</v>
      </c>
      <c r="L4" s="3">
        <f>IFERROR(__xludf.DUMMYFUNCTION("""COMPUTED_VALUE"""),8.0)</f>
        <v>8</v>
      </c>
      <c r="M4" s="3">
        <f>IFERROR(__xludf.DUMMYFUNCTION("""COMPUTED_VALUE"""),0.0)</f>
        <v>0</v>
      </c>
      <c r="N4" s="3">
        <f>IFERROR(__xludf.DUMMYFUNCTION("""COMPUTED_VALUE"""),8.0)</f>
        <v>8</v>
      </c>
      <c r="O4" s="3">
        <f>IFERROR(__xludf.DUMMYFUNCTION("""COMPUTED_VALUE"""),7.0)</f>
        <v>7</v>
      </c>
      <c r="P4" s="3">
        <f>IFERROR(__xludf.DUMMYFUNCTION("""COMPUTED_VALUE"""),6.0)</f>
        <v>6</v>
      </c>
      <c r="Q4" s="3">
        <f>IFERROR(__xludf.DUMMYFUNCTION("""COMPUTED_VALUE"""),0.0)</f>
        <v>0</v>
      </c>
      <c r="R4" s="3"/>
      <c r="S4" s="3">
        <f>IFERROR(__xludf.DUMMYFUNCTION("""COMPUTED_VALUE"""),0.0)</f>
        <v>0</v>
      </c>
      <c r="T4" s="3"/>
      <c r="U4" s="3"/>
      <c r="V4" s="3">
        <f>IFERROR(__xludf.DUMMYFUNCTION("""COMPUTED_VALUE"""),0.0)</f>
        <v>0</v>
      </c>
      <c r="W4" s="3"/>
      <c r="X4" s="3"/>
      <c r="Y4" s="3"/>
      <c r="Z4" s="3">
        <f>IFERROR(__xludf.DUMMYFUNCTION("""COMPUTED_VALUE"""),0.0)</f>
        <v>0</v>
      </c>
      <c r="AA4" s="3"/>
      <c r="AB4" s="3"/>
      <c r="AC4" s="3">
        <f>IFERROR(__xludf.DUMMYFUNCTION("""COMPUTED_VALUE"""),0.0)</f>
        <v>0</v>
      </c>
      <c r="AD4" s="3"/>
      <c r="AE4" s="3">
        <f>IFERROR(__xludf.DUMMYFUNCTION("""COMPUTED_VALUE"""),0.0)</f>
        <v>0</v>
      </c>
      <c r="AF4" s="3"/>
      <c r="AG4" s="3">
        <f>IFERROR(__xludf.DUMMYFUNCTION("""COMPUTED_VALUE"""),0.0)</f>
        <v>0</v>
      </c>
      <c r="AH4" s="3"/>
      <c r="AI4" s="3">
        <f>IFERROR(__xludf.DUMMYFUNCTION("""COMPUTED_VALUE"""),0.0)</f>
        <v>0</v>
      </c>
      <c r="AJ4" s="3"/>
      <c r="AK4" s="3"/>
      <c r="AL4" s="3"/>
      <c r="AM4" s="3"/>
      <c r="AN4" s="3"/>
      <c r="AO4" s="3">
        <f>IFERROR(__xludf.DUMMYFUNCTION("""COMPUTED_VALUE"""),0.0)</f>
        <v>0</v>
      </c>
      <c r="AP4" s="3"/>
      <c r="AQ4" s="3"/>
      <c r="AR4" s="3"/>
      <c r="AS4" s="3"/>
      <c r="AT4" s="3">
        <f>IFERROR(__xludf.DUMMYFUNCTION("""COMPUTED_VALUE"""),0.0)</f>
        <v>0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>
      <c r="A5" s="4" t="str">
        <f>IFERROR(__xludf.DUMMYFUNCTION("""COMPUTED_VALUE"""),"23201061")</f>
        <v>23201061</v>
      </c>
      <c r="B5" s="3">
        <f>IFERROR(__xludf.DUMMYFUNCTION("""COMPUTED_VALUE"""),2.547169811320755)</f>
        <v>2.547169811</v>
      </c>
      <c r="C5" s="3">
        <f>IFERROR(__xludf.DUMMYFUNCTION("""COMPUTED_VALUE"""),0.0)</f>
        <v>0</v>
      </c>
      <c r="D5" s="3">
        <f>IFERROR(__xludf.DUMMYFUNCTION("""COMPUTED_VALUE"""),2.547169811320755)</f>
        <v>2.547169811</v>
      </c>
      <c r="E5" s="3">
        <f>IFERROR(__xludf.DUMMYFUNCTION("""COMPUTED_VALUE"""),0.0)</f>
        <v>0</v>
      </c>
      <c r="F5" s="3">
        <f>IFERROR(__xludf.DUMMYFUNCTION("""COMPUTED_VALUE"""),0.0)</f>
        <v>0</v>
      </c>
      <c r="G5" s="3">
        <f>IFERROR(__xludf.DUMMYFUNCTION("""COMPUTED_VALUE"""),0.0)</f>
        <v>0</v>
      </c>
      <c r="H5" s="3">
        <f>IFERROR(__xludf.DUMMYFUNCTION("""COMPUTED_VALUE"""),0.0)</f>
        <v>0</v>
      </c>
      <c r="I5" s="3">
        <f>IFERROR(__xludf.DUMMYFUNCTION("""COMPUTED_VALUE"""),0.0)</f>
        <v>0</v>
      </c>
      <c r="J5" s="3">
        <f>IFERROR(__xludf.DUMMYFUNCTION("""COMPUTED_VALUE"""),6.0)</f>
        <v>6</v>
      </c>
      <c r="K5" s="3">
        <f>IFERROR(__xludf.DUMMYFUNCTION("""COMPUTED_VALUE"""),6.0)</f>
        <v>6</v>
      </c>
      <c r="L5" s="3">
        <f>IFERROR(__xludf.DUMMYFUNCTION("""COMPUTED_VALUE"""),5.0)</f>
        <v>5</v>
      </c>
      <c r="M5" s="3">
        <f>IFERROR(__xludf.DUMMYFUNCTION("""COMPUTED_VALUE"""),0.0)</f>
        <v>0</v>
      </c>
      <c r="N5" s="3">
        <f>IFERROR(__xludf.DUMMYFUNCTION("""COMPUTED_VALUE"""),2.0)</f>
        <v>2</v>
      </c>
      <c r="O5" s="3">
        <f>IFERROR(__xludf.DUMMYFUNCTION("""COMPUTED_VALUE"""),0.0)</f>
        <v>0</v>
      </c>
      <c r="P5" s="3">
        <f>IFERROR(__xludf.DUMMYFUNCTION("""COMPUTED_VALUE"""),3.0)</f>
        <v>3</v>
      </c>
      <c r="Q5" s="3">
        <f>IFERROR(__xludf.DUMMYFUNCTION("""COMPUTED_VALUE"""),5.0)</f>
        <v>5</v>
      </c>
      <c r="R5" s="3"/>
      <c r="S5" s="3">
        <f>IFERROR(__xludf.DUMMYFUNCTION("""COMPUTED_VALUE"""),0.0)</f>
        <v>0</v>
      </c>
      <c r="T5" s="3"/>
      <c r="U5" s="3"/>
      <c r="V5" s="3">
        <f>IFERROR(__xludf.DUMMYFUNCTION("""COMPUTED_VALUE"""),0.0)</f>
        <v>0</v>
      </c>
      <c r="W5" s="3"/>
      <c r="X5" s="3"/>
      <c r="Y5" s="3"/>
      <c r="Z5" s="3">
        <f>IFERROR(__xludf.DUMMYFUNCTION("""COMPUTED_VALUE"""),0.0)</f>
        <v>0</v>
      </c>
      <c r="AA5" s="3"/>
      <c r="AB5" s="3"/>
      <c r="AC5" s="3">
        <f>IFERROR(__xludf.DUMMYFUNCTION("""COMPUTED_VALUE"""),0.0)</f>
        <v>0</v>
      </c>
      <c r="AD5" s="3"/>
      <c r="AE5" s="3"/>
      <c r="AF5" s="3"/>
      <c r="AG5" s="3">
        <f>IFERROR(__xludf.DUMMYFUNCTION("""COMPUTED_VALUE"""),0.0)</f>
        <v>0</v>
      </c>
      <c r="AH5" s="3"/>
      <c r="AI5" s="3">
        <f>IFERROR(__xludf.DUMMYFUNCTION("""COMPUTED_VALUE"""),0.0)</f>
        <v>0</v>
      </c>
      <c r="AJ5" s="3"/>
      <c r="AK5" s="3"/>
      <c r="AL5" s="3"/>
      <c r="AM5" s="3"/>
      <c r="AN5" s="3"/>
      <c r="AO5" s="3">
        <f>IFERROR(__xludf.DUMMYFUNCTION("""COMPUTED_VALUE"""),0.0)</f>
        <v>0</v>
      </c>
      <c r="AP5" s="3"/>
      <c r="AQ5" s="3"/>
      <c r="AR5" s="3"/>
      <c r="AS5" s="3"/>
      <c r="AT5" s="3">
        <f>IFERROR(__xludf.DUMMYFUNCTION("""COMPUTED_VALUE"""),0.0)</f>
        <v>0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</row>
    <row r="6">
      <c r="A6" s="2" t="str">
        <f>IFERROR(__xludf.DUMMYFUNCTION("""COMPUTED_VALUE"""),"23341005")</f>
        <v>23341005</v>
      </c>
      <c r="B6" s="3">
        <f>IFERROR(__xludf.DUMMYFUNCTION("""COMPUTED_VALUE"""),7.773584905660377)</f>
        <v>7.773584906</v>
      </c>
      <c r="C6" s="3">
        <f>IFERROR(__xludf.DUMMYFUNCTION("""COMPUTED_VALUE"""),4.0)</f>
        <v>4</v>
      </c>
      <c r="D6" s="3">
        <f>IFERROR(__xludf.DUMMYFUNCTION("""COMPUTED_VALUE"""),3.7735849056603774)</f>
        <v>3.773584906</v>
      </c>
      <c r="E6" s="3">
        <f>IFERROR(__xludf.DUMMYFUNCTION("""COMPUTED_VALUE"""),0.0)</f>
        <v>0</v>
      </c>
      <c r="F6" s="3">
        <f>IFERROR(__xludf.DUMMYFUNCTION("""COMPUTED_VALUE"""),2.0)</f>
        <v>2</v>
      </c>
      <c r="G6" s="3">
        <f>IFERROR(__xludf.DUMMYFUNCTION("""COMPUTED_VALUE"""),4.0)</f>
        <v>4</v>
      </c>
      <c r="H6" s="3">
        <f>IFERROR(__xludf.DUMMYFUNCTION("""COMPUTED_VALUE"""),4.0)</f>
        <v>4</v>
      </c>
      <c r="I6" s="3">
        <f>IFERROR(__xludf.DUMMYFUNCTION("""COMPUTED_VALUE"""),4.0)</f>
        <v>4</v>
      </c>
      <c r="J6" s="3">
        <f>IFERROR(__xludf.DUMMYFUNCTION("""COMPUTED_VALUE"""),4.0)</f>
        <v>4</v>
      </c>
      <c r="K6" s="3">
        <f>IFERROR(__xludf.DUMMYFUNCTION("""COMPUTED_VALUE"""),8.0)</f>
        <v>8</v>
      </c>
      <c r="L6" s="3">
        <f>IFERROR(__xludf.DUMMYFUNCTION("""COMPUTED_VALUE"""),8.0)</f>
        <v>8</v>
      </c>
      <c r="M6" s="3">
        <f>IFERROR(__xludf.DUMMYFUNCTION("""COMPUTED_VALUE"""),8.0)</f>
        <v>8</v>
      </c>
      <c r="N6" s="3">
        <f>IFERROR(__xludf.DUMMYFUNCTION("""COMPUTED_VALUE"""),0.0)</f>
        <v>0</v>
      </c>
      <c r="O6" s="3">
        <f>IFERROR(__xludf.DUMMYFUNCTION("""COMPUTED_VALUE"""),0.0)</f>
        <v>0</v>
      </c>
      <c r="P6" s="3">
        <f>IFERROR(__xludf.DUMMYFUNCTION("""COMPUTED_VALUE"""),6.0)</f>
        <v>6</v>
      </c>
      <c r="Q6" s="3">
        <f>IFERROR(__xludf.DUMMYFUNCTION("""COMPUTED_VALUE"""),6.0)</f>
        <v>6</v>
      </c>
      <c r="R6" s="3"/>
      <c r="S6" s="3">
        <f>IFERROR(__xludf.DUMMYFUNCTION("""COMPUTED_VALUE"""),0.0)</f>
        <v>0</v>
      </c>
      <c r="T6" s="3"/>
      <c r="U6" s="3"/>
      <c r="V6" s="3">
        <f>IFERROR(__xludf.DUMMYFUNCTION("""COMPUTED_VALUE"""),0.0)</f>
        <v>0</v>
      </c>
      <c r="W6" s="3"/>
      <c r="X6" s="3"/>
      <c r="Y6" s="3"/>
      <c r="Z6" s="3">
        <f>IFERROR(__xludf.DUMMYFUNCTION("""COMPUTED_VALUE"""),0.1)</f>
        <v>0.1</v>
      </c>
      <c r="AA6" s="3"/>
      <c r="AB6" s="3"/>
      <c r="AC6" s="3">
        <f>IFERROR(__xludf.DUMMYFUNCTION("""COMPUTED_VALUE"""),0.1)</f>
        <v>0.1</v>
      </c>
      <c r="AD6" s="3"/>
      <c r="AE6" s="3">
        <f>IFERROR(__xludf.DUMMYFUNCTION("""COMPUTED_VALUE"""),0.2)</f>
        <v>0.2</v>
      </c>
      <c r="AF6" s="3"/>
      <c r="AG6" s="3">
        <f>IFERROR(__xludf.DUMMYFUNCTION("""COMPUTED_VALUE"""),0.2)</f>
        <v>0.2</v>
      </c>
      <c r="AH6" s="3"/>
      <c r="AI6" s="3">
        <f>IFERROR(__xludf.DUMMYFUNCTION("""COMPUTED_VALUE"""),0.2)</f>
        <v>0.2</v>
      </c>
      <c r="AJ6" s="3"/>
      <c r="AK6" s="3"/>
      <c r="AL6" s="3"/>
      <c r="AM6" s="3"/>
      <c r="AN6" s="3"/>
      <c r="AO6" s="3">
        <f>IFERROR(__xludf.DUMMYFUNCTION("""COMPUTED_VALUE"""),0.2)</f>
        <v>0.2</v>
      </c>
      <c r="AP6" s="3"/>
      <c r="AQ6" s="3"/>
      <c r="AR6" s="3"/>
      <c r="AS6" s="3"/>
      <c r="AT6" s="3">
        <f>IFERROR(__xludf.DUMMYFUNCTION("""COMPUTED_VALUE"""),0.2)</f>
        <v>0.2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</row>
    <row r="7">
      <c r="A7" s="2" t="str">
        <f>IFERROR(__xludf.DUMMYFUNCTION("""COMPUTED_VALUE"""),"24101117")</f>
        <v>24101117</v>
      </c>
      <c r="B7" s="3">
        <f>IFERROR(__xludf.DUMMYFUNCTION("""COMPUTED_VALUE"""),5.0)</f>
        <v>5</v>
      </c>
      <c r="C7" s="3">
        <f>IFERROR(__xludf.DUMMYFUNCTION("""COMPUTED_VALUE"""),0.0)</f>
        <v>0</v>
      </c>
      <c r="D7" s="3">
        <f>IFERROR(__xludf.DUMMYFUNCTION("""COMPUTED_VALUE"""),5.0)</f>
        <v>5</v>
      </c>
      <c r="E7" s="3">
        <f>IFERROR(__xludf.DUMMYFUNCTION("""COMPUTED_VALUE"""),0.0)</f>
        <v>0</v>
      </c>
      <c r="F7" s="3">
        <f>IFERROR(__xludf.DUMMYFUNCTION("""COMPUTED_VALUE"""),0.0)</f>
        <v>0</v>
      </c>
      <c r="G7" s="3">
        <f>IFERROR(__xludf.DUMMYFUNCTION("""COMPUTED_VALUE"""),0.0)</f>
        <v>0</v>
      </c>
      <c r="H7" s="3">
        <f>IFERROR(__xludf.DUMMYFUNCTION("""COMPUTED_VALUE"""),0.0)</f>
        <v>0</v>
      </c>
      <c r="I7" s="3">
        <f>IFERROR(__xludf.DUMMYFUNCTION("""COMPUTED_VALUE"""),0.0)</f>
        <v>0</v>
      </c>
      <c r="J7" s="3">
        <f>IFERROR(__xludf.DUMMYFUNCTION("""COMPUTED_VALUE"""),8.0)</f>
        <v>8</v>
      </c>
      <c r="K7" s="3">
        <f>IFERROR(__xludf.DUMMYFUNCTION("""COMPUTED_VALUE"""),8.0)</f>
        <v>8</v>
      </c>
      <c r="L7" s="3">
        <f>IFERROR(__xludf.DUMMYFUNCTION("""COMPUTED_VALUE"""),8.0)</f>
        <v>8</v>
      </c>
      <c r="M7" s="3">
        <f>IFERROR(__xludf.DUMMYFUNCTION("""COMPUTED_VALUE"""),8.0)</f>
        <v>8</v>
      </c>
      <c r="N7" s="3">
        <f>IFERROR(__xludf.DUMMYFUNCTION("""COMPUTED_VALUE"""),8.0)</f>
        <v>8</v>
      </c>
      <c r="O7" s="3">
        <f>IFERROR(__xludf.DUMMYFUNCTION("""COMPUTED_VALUE"""),8.0)</f>
        <v>8</v>
      </c>
      <c r="P7" s="3">
        <f>IFERROR(__xludf.DUMMYFUNCTION("""COMPUTED_VALUE"""),6.0)</f>
        <v>6</v>
      </c>
      <c r="Q7" s="3">
        <f>IFERROR(__xludf.DUMMYFUNCTION("""COMPUTED_VALUE"""),0.0)</f>
        <v>0</v>
      </c>
      <c r="R7" s="3"/>
      <c r="S7" s="3">
        <f>IFERROR(__xludf.DUMMYFUNCTION("""COMPUTED_VALUE"""),0.0)</f>
        <v>0</v>
      </c>
      <c r="T7" s="3"/>
      <c r="U7" s="3"/>
      <c r="V7" s="3">
        <f>IFERROR(__xludf.DUMMYFUNCTION("""COMPUTED_VALUE"""),0.0)</f>
        <v>0</v>
      </c>
      <c r="W7" s="3"/>
      <c r="X7" s="3"/>
      <c r="Y7" s="3"/>
      <c r="Z7" s="3">
        <f>IFERROR(__xludf.DUMMYFUNCTION("""COMPUTED_VALUE"""),0.0)</f>
        <v>0</v>
      </c>
      <c r="AA7" s="3"/>
      <c r="AB7" s="3"/>
      <c r="AC7" s="3">
        <f>IFERROR(__xludf.DUMMYFUNCTION("""COMPUTED_VALUE"""),0.0)</f>
        <v>0</v>
      </c>
      <c r="AD7" s="3"/>
      <c r="AE7" s="3">
        <f>IFERROR(__xludf.DUMMYFUNCTION("""COMPUTED_VALUE"""),0.0)</f>
        <v>0</v>
      </c>
      <c r="AF7" s="3"/>
      <c r="AG7" s="3">
        <f>IFERROR(__xludf.DUMMYFUNCTION("""COMPUTED_VALUE"""),0.0)</f>
        <v>0</v>
      </c>
      <c r="AH7" s="3"/>
      <c r="AI7" s="3">
        <f>IFERROR(__xludf.DUMMYFUNCTION("""COMPUTED_VALUE"""),0.0)</f>
        <v>0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</row>
    <row r="8">
      <c r="A8" s="2" t="str">
        <f>IFERROR(__xludf.DUMMYFUNCTION("""COMPUTED_VALUE"""),"24101143")</f>
        <v>24101143</v>
      </c>
      <c r="B8" s="3">
        <f>IFERROR(__xludf.DUMMYFUNCTION("""COMPUTED_VALUE"""),0.0)</f>
        <v>0</v>
      </c>
      <c r="C8" s="3">
        <f>IFERROR(__xludf.DUMMYFUNCTION("""COMPUTED_VALUE"""),0.0)</f>
        <v>0</v>
      </c>
      <c r="D8" s="3">
        <f>IFERROR(__xludf.DUMMYFUNCTION("""COMPUTED_VALUE"""),0.0)</f>
        <v>0</v>
      </c>
      <c r="E8" s="3">
        <f>IFERROR(__xludf.DUMMYFUNCTION("""COMPUTED_VALUE"""),0.0)</f>
        <v>0</v>
      </c>
      <c r="F8" s="3">
        <f>IFERROR(__xludf.DUMMYFUNCTION("""COMPUTED_VALUE"""),0.0)</f>
        <v>0</v>
      </c>
      <c r="G8" s="3">
        <f>IFERROR(__xludf.DUMMYFUNCTION("""COMPUTED_VALUE"""),0.0)</f>
        <v>0</v>
      </c>
      <c r="H8" s="3">
        <f>IFERROR(__xludf.DUMMYFUNCTION("""COMPUTED_VALUE"""),0.0)</f>
        <v>0</v>
      </c>
      <c r="I8" s="3">
        <f>IFERROR(__xludf.DUMMYFUNCTION("""COMPUTED_VALUE"""),0.0)</f>
        <v>0</v>
      </c>
      <c r="J8" s="3">
        <f>IFERROR(__xludf.DUMMYFUNCTION("""COMPUTED_VALUE"""),0.0)</f>
        <v>0</v>
      </c>
      <c r="K8" s="3">
        <f>IFERROR(__xludf.DUMMYFUNCTION("""COMPUTED_VALUE"""),0.0)</f>
        <v>0</v>
      </c>
      <c r="L8" s="3">
        <f>IFERROR(__xludf.DUMMYFUNCTION("""COMPUTED_VALUE"""),0.0)</f>
        <v>0</v>
      </c>
      <c r="M8" s="3">
        <f>IFERROR(__xludf.DUMMYFUNCTION("""COMPUTED_VALUE"""),0.0)</f>
        <v>0</v>
      </c>
      <c r="N8" s="3">
        <f>IFERROR(__xludf.DUMMYFUNCTION("""COMPUTED_VALUE"""),0.0)</f>
        <v>0</v>
      </c>
      <c r="O8" s="3">
        <f>IFERROR(__xludf.DUMMYFUNCTION("""COMPUTED_VALUE"""),0.0)</f>
        <v>0</v>
      </c>
      <c r="P8" s="3">
        <f>IFERROR(__xludf.DUMMYFUNCTION("""COMPUTED_VALUE"""),0.0)</f>
        <v>0</v>
      </c>
      <c r="Q8" s="3">
        <f>IFERROR(__xludf.DUMMYFUNCTION("""COMPUTED_VALUE"""),0.0)</f>
        <v>0</v>
      </c>
      <c r="R8" s="3"/>
      <c r="S8" s="3">
        <f>IFERROR(__xludf.DUMMYFUNCTION("""COMPUTED_VALUE"""),0.0)</f>
        <v>0</v>
      </c>
      <c r="T8" s="3"/>
      <c r="U8" s="3"/>
      <c r="V8" s="3">
        <f>IFERROR(__xludf.DUMMYFUNCTION("""COMPUTED_VALUE"""),0.0)</f>
        <v>0</v>
      </c>
      <c r="W8" s="3"/>
      <c r="X8" s="3"/>
      <c r="Y8" s="3"/>
      <c r="Z8" s="3">
        <f>IFERROR(__xludf.DUMMYFUNCTION("""COMPUTED_VALUE"""),0.0)</f>
        <v>0</v>
      </c>
      <c r="AA8" s="3"/>
      <c r="AB8" s="3"/>
      <c r="AC8" s="3">
        <f>IFERROR(__xludf.DUMMYFUNCTION("""COMPUTED_VALUE"""),0.0)</f>
        <v>0</v>
      </c>
      <c r="AD8" s="3"/>
      <c r="AE8" s="3">
        <f>IFERROR(__xludf.DUMMYFUNCTION("""COMPUTED_VALUE"""),0.0)</f>
        <v>0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</row>
    <row r="9">
      <c r="A9" s="2" t="str">
        <f>IFERROR(__xludf.DUMMYFUNCTION("""COMPUTED_VALUE"""),"24101229")</f>
        <v>24101229</v>
      </c>
      <c r="B9" s="3">
        <f>IFERROR(__xludf.DUMMYFUNCTION("""COMPUTED_VALUE"""),4.534591194968554)</f>
        <v>4.534591195</v>
      </c>
      <c r="C9" s="3">
        <f>IFERROR(__xludf.DUMMYFUNCTION("""COMPUTED_VALUE"""),0.6666666666666666)</f>
        <v>0.6666666667</v>
      </c>
      <c r="D9" s="3">
        <f>IFERROR(__xludf.DUMMYFUNCTION("""COMPUTED_VALUE"""),3.867924528301887)</f>
        <v>3.867924528</v>
      </c>
      <c r="E9" s="3">
        <f>IFERROR(__xludf.DUMMYFUNCTION("""COMPUTED_VALUE"""),0.0)</f>
        <v>0</v>
      </c>
      <c r="F9" s="3">
        <f>IFERROR(__xludf.DUMMYFUNCTION("""COMPUTED_VALUE"""),0.0)</f>
        <v>0</v>
      </c>
      <c r="G9" s="3">
        <f>IFERROR(__xludf.DUMMYFUNCTION("""COMPUTED_VALUE"""),0.0)</f>
        <v>0</v>
      </c>
      <c r="H9" s="3">
        <f>IFERROR(__xludf.DUMMYFUNCTION("""COMPUTED_VALUE"""),0.0)</f>
        <v>0</v>
      </c>
      <c r="I9" s="3">
        <f>IFERROR(__xludf.DUMMYFUNCTION("""COMPUTED_VALUE"""),2.0)</f>
        <v>2</v>
      </c>
      <c r="J9" s="3">
        <f>IFERROR(__xludf.DUMMYFUNCTION("""COMPUTED_VALUE"""),7.0)</f>
        <v>7</v>
      </c>
      <c r="K9" s="3">
        <f>IFERROR(__xludf.DUMMYFUNCTION("""COMPUTED_VALUE"""),8.0)</f>
        <v>8</v>
      </c>
      <c r="L9" s="3">
        <f>IFERROR(__xludf.DUMMYFUNCTION("""COMPUTED_VALUE"""),0.0)</f>
        <v>0</v>
      </c>
      <c r="M9" s="3">
        <f>IFERROR(__xludf.DUMMYFUNCTION("""COMPUTED_VALUE"""),8.0)</f>
        <v>8</v>
      </c>
      <c r="N9" s="3">
        <f>IFERROR(__xludf.DUMMYFUNCTION("""COMPUTED_VALUE"""),4.0)</f>
        <v>4</v>
      </c>
      <c r="O9" s="3">
        <f>IFERROR(__xludf.DUMMYFUNCTION("""COMPUTED_VALUE"""),8.0)</f>
        <v>8</v>
      </c>
      <c r="P9" s="3">
        <f>IFERROR(__xludf.DUMMYFUNCTION("""COMPUTED_VALUE"""),6.0)</f>
        <v>6</v>
      </c>
      <c r="Q9" s="3">
        <f>IFERROR(__xludf.DUMMYFUNCTION("""COMPUTED_VALUE"""),0.0)</f>
        <v>0</v>
      </c>
      <c r="R9" s="3"/>
      <c r="S9" s="3">
        <f>IFERROR(__xludf.DUMMYFUNCTION("""COMPUTED_VALUE"""),0.0)</f>
        <v>0</v>
      </c>
      <c r="T9" s="3"/>
      <c r="U9" s="3"/>
      <c r="V9" s="3">
        <f>IFERROR(__xludf.DUMMYFUNCTION("""COMPUTED_VALUE"""),0.0)</f>
        <v>0</v>
      </c>
      <c r="W9" s="3"/>
      <c r="X9" s="3"/>
      <c r="Y9" s="3"/>
      <c r="Z9" s="3">
        <f>IFERROR(__xludf.DUMMYFUNCTION("""COMPUTED_VALUE"""),0.0)</f>
        <v>0</v>
      </c>
      <c r="AA9" s="3"/>
      <c r="AB9" s="3"/>
      <c r="AC9" s="3">
        <f>IFERROR(__xludf.DUMMYFUNCTION("""COMPUTED_VALUE"""),0.0)</f>
        <v>0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f>IFERROR(__xludf.DUMMYFUNCTION("""COMPUTED_VALUE"""),0.1)</f>
        <v>0.1</v>
      </c>
      <c r="AP9" s="3"/>
      <c r="AQ9" s="3"/>
      <c r="AR9" s="3"/>
      <c r="AS9" s="3"/>
      <c r="AT9" s="3">
        <f>IFERROR(__xludf.DUMMYFUNCTION("""COMPUTED_VALUE"""),0.1)</f>
        <v>0.1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>
      <c r="A10" s="2" t="str">
        <f>IFERROR(__xludf.DUMMYFUNCTION("""COMPUTED_VALUE"""),"24101297")</f>
        <v>24101297</v>
      </c>
      <c r="B10" s="3">
        <f>IFERROR(__xludf.DUMMYFUNCTION("""COMPUTED_VALUE"""),5.59748427672956)</f>
        <v>5.597484277</v>
      </c>
      <c r="C10" s="3">
        <f>IFERROR(__xludf.DUMMYFUNCTION("""COMPUTED_VALUE"""),3.3333333333333335)</f>
        <v>3.333333333</v>
      </c>
      <c r="D10" s="3">
        <f>IFERROR(__xludf.DUMMYFUNCTION("""COMPUTED_VALUE"""),2.2641509433962264)</f>
        <v>2.264150943</v>
      </c>
      <c r="E10" s="3">
        <f>IFERROR(__xludf.DUMMYFUNCTION("""COMPUTED_VALUE"""),10.0)</f>
        <v>10</v>
      </c>
      <c r="F10" s="3">
        <f>IFERROR(__xludf.DUMMYFUNCTION("""COMPUTED_VALUE"""),0.0)</f>
        <v>0</v>
      </c>
      <c r="G10" s="3">
        <f>IFERROR(__xludf.DUMMYFUNCTION("""COMPUTED_VALUE"""),0.0)</f>
        <v>0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>
        <f>IFERROR(__xludf.DUMMYFUNCTION("""COMPUTED_VALUE"""),8.0)</f>
        <v>8</v>
      </c>
      <c r="K10" s="3">
        <f>IFERROR(__xludf.DUMMYFUNCTION("""COMPUTED_VALUE"""),8.0)</f>
        <v>8</v>
      </c>
      <c r="L10" s="3">
        <f>IFERROR(__xludf.DUMMYFUNCTION("""COMPUTED_VALUE"""),8.0)</f>
        <v>8</v>
      </c>
      <c r="M10" s="3">
        <f>IFERROR(__xludf.DUMMYFUNCTION("""COMPUTED_VALUE"""),0.0)</f>
        <v>0</v>
      </c>
      <c r="N10" s="3">
        <f>IFERROR(__xludf.DUMMYFUNCTION("""COMPUTED_VALUE"""),0.0)</f>
        <v>0</v>
      </c>
      <c r="O10" s="3">
        <f>IFERROR(__xludf.DUMMYFUNCTION("""COMPUTED_VALUE"""),0.0)</f>
        <v>0</v>
      </c>
      <c r="P10" s="3">
        <f>IFERROR(__xludf.DUMMYFUNCTION("""COMPUTED_VALUE"""),0.0)</f>
        <v>0</v>
      </c>
      <c r="Q10" s="3">
        <f>IFERROR(__xludf.DUMMYFUNCTION("""COMPUTED_VALUE"""),0.0)</f>
        <v>0</v>
      </c>
      <c r="R10" s="3"/>
      <c r="S10" s="3">
        <f>IFERROR(__xludf.DUMMYFUNCTION("""COMPUTED_VALUE"""),1.0)</f>
        <v>1</v>
      </c>
      <c r="T10" s="3"/>
      <c r="U10" s="3"/>
      <c r="V10" s="3">
        <f>IFERROR(__xludf.DUMMYFUNCTION("""COMPUTED_VALUE"""),0.0)</f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>
      <c r="A11" s="2" t="str">
        <f>IFERROR(__xludf.DUMMYFUNCTION("""COMPUTED_VALUE"""),"24141004")</f>
        <v>24141004</v>
      </c>
      <c r="B11" s="3">
        <f>IFERROR(__xludf.DUMMYFUNCTION("""COMPUTED_VALUE"""),0.0)</f>
        <v>0</v>
      </c>
      <c r="C11" s="3">
        <f>IFERROR(__xludf.DUMMYFUNCTION("""COMPUTED_VALUE"""),0.0)</f>
        <v>0</v>
      </c>
      <c r="D11" s="3">
        <f>IFERROR(__xludf.DUMMYFUNCTION("""COMPUTED_VALUE"""),0.0)</f>
        <v>0</v>
      </c>
      <c r="E11" s="3">
        <f>IFERROR(__xludf.DUMMYFUNCTION("""COMPUTED_VALUE"""),0.0)</f>
        <v>0</v>
      </c>
      <c r="F11" s="3">
        <f>IFERROR(__xludf.DUMMYFUNCTION("""COMPUTED_VALUE"""),0.0)</f>
        <v>0</v>
      </c>
      <c r="G11" s="3">
        <f>IFERROR(__xludf.DUMMYFUNCTION("""COMPUTED_VALUE"""),0.0)</f>
        <v>0</v>
      </c>
      <c r="H11" s="3">
        <f>IFERROR(__xludf.DUMMYFUNCTION("""COMPUTED_VALUE"""),0.0)</f>
        <v>0</v>
      </c>
      <c r="I11" s="3">
        <f>IFERROR(__xludf.DUMMYFUNCTION("""COMPUTED_VALUE"""),0.0)</f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>
      <c r="A12" s="2" t="str">
        <f>IFERROR(__xludf.DUMMYFUNCTION("""COMPUTED_VALUE"""),"24201268")</f>
        <v>24201268</v>
      </c>
      <c r="B12" s="3">
        <f>IFERROR(__xludf.DUMMYFUNCTION("""COMPUTED_VALUE"""),0.4716981132075472)</f>
        <v>0.4716981132</v>
      </c>
      <c r="C12" s="3">
        <f>IFERROR(__xludf.DUMMYFUNCTION("""COMPUTED_VALUE"""),0.0)</f>
        <v>0</v>
      </c>
      <c r="D12" s="3">
        <f>IFERROR(__xludf.DUMMYFUNCTION("""COMPUTED_VALUE"""),0.4716981132075472)</f>
        <v>0.4716981132</v>
      </c>
      <c r="E12" s="3">
        <f>IFERROR(__xludf.DUMMYFUNCTION("""COMPUTED_VALUE"""),0.0)</f>
        <v>0</v>
      </c>
      <c r="F12" s="3">
        <f>IFERROR(__xludf.DUMMYFUNCTION("""COMPUTED_VALUE"""),0.0)</f>
        <v>0</v>
      </c>
      <c r="G12" s="3">
        <f>IFERROR(__xludf.DUMMYFUNCTION("""COMPUTED_VALUE"""),0.0)</f>
        <v>0</v>
      </c>
      <c r="H12" s="3">
        <f>IFERROR(__xludf.DUMMYFUNCTION("""COMPUTED_VALUE"""),0.0)</f>
        <v>0</v>
      </c>
      <c r="I12" s="3">
        <f>IFERROR(__xludf.DUMMYFUNCTION("""COMPUTED_VALUE"""),0.0)</f>
        <v>0</v>
      </c>
      <c r="J12" s="3">
        <f>IFERROR(__xludf.DUMMYFUNCTION("""COMPUTED_VALUE"""),0.0)</f>
        <v>0</v>
      </c>
      <c r="K12" s="3">
        <f>IFERROR(__xludf.DUMMYFUNCTION("""COMPUTED_VALUE"""),0.0)</f>
        <v>0</v>
      </c>
      <c r="L12" s="3">
        <f>IFERROR(__xludf.DUMMYFUNCTION("""COMPUTED_VALUE"""),5.0)</f>
        <v>5</v>
      </c>
      <c r="M12" s="3">
        <f>IFERROR(__xludf.DUMMYFUNCTION("""COMPUTED_VALUE"""),0.0)</f>
        <v>0</v>
      </c>
      <c r="N12" s="3">
        <f>IFERROR(__xludf.DUMMYFUNCTION("""COMPUTED_VALUE"""),0.0)</f>
        <v>0</v>
      </c>
      <c r="O12" s="3">
        <f>IFERROR(__xludf.DUMMYFUNCTION("""COMPUTED_VALUE"""),0.0)</f>
        <v>0</v>
      </c>
      <c r="P12" s="3">
        <f>IFERROR(__xludf.DUMMYFUNCTION("""COMPUTED_VALUE"""),0.0)</f>
        <v>0</v>
      </c>
      <c r="Q12" s="3">
        <f>IFERROR(__xludf.DUMMYFUNCTION("""COMPUTED_VALUE"""),0.0)</f>
        <v>0</v>
      </c>
      <c r="R12" s="3"/>
      <c r="S12" s="3">
        <f>IFERROR(__xludf.DUMMYFUNCTION("""COMPUTED_VALUE"""),0.0)</f>
        <v>0</v>
      </c>
      <c r="T12" s="3"/>
      <c r="U12" s="3"/>
      <c r="V12" s="3">
        <f>IFERROR(__xludf.DUMMYFUNCTION("""COMPUTED_VALUE"""),0.0)</f>
        <v>0</v>
      </c>
      <c r="W12" s="3"/>
      <c r="X12" s="3"/>
      <c r="Y12" s="3"/>
      <c r="Z12" s="3"/>
      <c r="AA12" s="3"/>
      <c r="AB12" s="3"/>
      <c r="AC12" s="3"/>
      <c r="AD12" s="3"/>
      <c r="AE12" s="3">
        <f>IFERROR(__xludf.DUMMYFUNCTION("""COMPUTED_VALUE"""),0.0)</f>
        <v>0</v>
      </c>
      <c r="AF12" s="3"/>
      <c r="AG12" s="3">
        <f>IFERROR(__xludf.DUMMYFUNCTION("""COMPUTED_VALUE"""),0.0)</f>
        <v>0</v>
      </c>
      <c r="AH12" s="3"/>
      <c r="AI12" s="3">
        <f>IFERROR(__xludf.DUMMYFUNCTION("""COMPUTED_VALUE"""),0.0)</f>
        <v>0</v>
      </c>
      <c r="AJ12" s="3"/>
      <c r="AK12" s="3"/>
      <c r="AL12" s="3"/>
      <c r="AM12" s="3"/>
      <c r="AN12" s="3"/>
      <c r="AO12" s="3">
        <f>IFERROR(__xludf.DUMMYFUNCTION("""COMPUTED_VALUE"""),0.0)</f>
        <v>0</v>
      </c>
      <c r="AP12" s="3"/>
      <c r="AQ12" s="3"/>
      <c r="AR12" s="3"/>
      <c r="AS12" s="3"/>
      <c r="AT12" s="3">
        <f>IFERROR(__xludf.DUMMYFUNCTION("""COMPUTED_VALUE"""),0.0)</f>
        <v>0</v>
      </c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>
      <c r="A13" s="2" t="str">
        <f>IFERROR(__xludf.DUMMYFUNCTION("""COMPUTED_VALUE"""),"24201331")</f>
        <v>24201331</v>
      </c>
      <c r="B13" s="3">
        <f>IFERROR(__xludf.DUMMYFUNCTION("""COMPUTED_VALUE"""),21.0)</f>
        <v>21</v>
      </c>
      <c r="C13" s="3">
        <f>IFERROR(__xludf.DUMMYFUNCTION("""COMPUTED_VALUE"""),16.0)</f>
        <v>16</v>
      </c>
      <c r="D13" s="3">
        <f>IFERROR(__xludf.DUMMYFUNCTION("""COMPUTED_VALUE"""),5.0)</f>
        <v>5</v>
      </c>
      <c r="E13" s="3">
        <f>IFERROR(__xludf.DUMMYFUNCTION("""COMPUTED_VALUE"""),0.0)</f>
        <v>0</v>
      </c>
      <c r="F13" s="3">
        <f>IFERROR(__xludf.DUMMYFUNCTION("""COMPUTED_VALUE"""),10.0)</f>
        <v>10</v>
      </c>
      <c r="G13" s="3">
        <f>IFERROR(__xludf.DUMMYFUNCTION("""COMPUTED_VALUE"""),20.0)</f>
        <v>20</v>
      </c>
      <c r="H13" s="3">
        <f>IFERROR(__xludf.DUMMYFUNCTION("""COMPUTED_VALUE"""),0.0)</f>
        <v>0</v>
      </c>
      <c r="I13" s="3">
        <f>IFERROR(__xludf.DUMMYFUNCTION("""COMPUTED_VALUE"""),18.0)</f>
        <v>18</v>
      </c>
      <c r="J13" s="3">
        <f>IFERROR(__xludf.DUMMYFUNCTION("""COMPUTED_VALUE"""),8.0)</f>
        <v>8</v>
      </c>
      <c r="K13" s="3">
        <f>IFERROR(__xludf.DUMMYFUNCTION("""COMPUTED_VALUE"""),8.0)</f>
        <v>8</v>
      </c>
      <c r="L13" s="3">
        <f>IFERROR(__xludf.DUMMYFUNCTION("""COMPUTED_VALUE"""),8.0)</f>
        <v>8</v>
      </c>
      <c r="M13" s="3">
        <f>IFERROR(__xludf.DUMMYFUNCTION("""COMPUTED_VALUE"""),8.0)</f>
        <v>8</v>
      </c>
      <c r="N13" s="3">
        <f>IFERROR(__xludf.DUMMYFUNCTION("""COMPUTED_VALUE"""),8.0)</f>
        <v>8</v>
      </c>
      <c r="O13" s="3">
        <f>IFERROR(__xludf.DUMMYFUNCTION("""COMPUTED_VALUE"""),8.0)</f>
        <v>8</v>
      </c>
      <c r="P13" s="3">
        <f>IFERROR(__xludf.DUMMYFUNCTION("""COMPUTED_VALUE"""),6.0)</f>
        <v>6</v>
      </c>
      <c r="Q13" s="3">
        <f>IFERROR(__xludf.DUMMYFUNCTION("""COMPUTED_VALUE"""),0.0)</f>
        <v>0</v>
      </c>
      <c r="R13" s="3"/>
      <c r="S13" s="3">
        <f>IFERROR(__xludf.DUMMYFUNCTION("""COMPUTED_VALUE"""),0.0)</f>
        <v>0</v>
      </c>
      <c r="T13" s="3"/>
      <c r="U13" s="3"/>
      <c r="V13" s="3">
        <f>IFERROR(__xludf.DUMMYFUNCTION("""COMPUTED_VALUE"""),0.0)</f>
        <v>0</v>
      </c>
      <c r="W13" s="3"/>
      <c r="X13" s="3"/>
      <c r="Y13" s="3"/>
      <c r="Z13" s="3">
        <f>IFERROR(__xludf.DUMMYFUNCTION("""COMPUTED_VALUE"""),0.0)</f>
        <v>0</v>
      </c>
      <c r="AA13" s="3"/>
      <c r="AB13" s="3"/>
      <c r="AC13" s="3">
        <f>IFERROR(__xludf.DUMMYFUNCTION("""COMPUTED_VALUE"""),1.0)</f>
        <v>1</v>
      </c>
      <c r="AD13" s="3"/>
      <c r="AE13" s="3">
        <f>IFERROR(__xludf.DUMMYFUNCTION("""COMPUTED_VALUE"""),1.0)</f>
        <v>1</v>
      </c>
      <c r="AF13" s="3"/>
      <c r="AG13" s="3">
        <f>IFERROR(__xludf.DUMMYFUNCTION("""COMPUTED_VALUE"""),0.0)</f>
        <v>0</v>
      </c>
      <c r="AH13" s="3"/>
      <c r="AI13" s="3">
        <f>IFERROR(__xludf.DUMMYFUNCTION("""COMPUTED_VALUE"""),0.0)</f>
        <v>0</v>
      </c>
      <c r="AJ13" s="3"/>
      <c r="AK13" s="3"/>
      <c r="AL13" s="3"/>
      <c r="AM13" s="3"/>
      <c r="AN13" s="3"/>
      <c r="AO13" s="3">
        <f>IFERROR(__xludf.DUMMYFUNCTION("""COMPUTED_VALUE"""),1.0)</f>
        <v>1</v>
      </c>
      <c r="AP13" s="3"/>
      <c r="AQ13" s="3"/>
      <c r="AR13" s="3"/>
      <c r="AS13" s="3"/>
      <c r="AT13" s="3">
        <f>IFERROR(__xludf.DUMMYFUNCTION("""COMPUTED_VALUE"""),0.8)</f>
        <v>0.8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>
      <c r="A14" s="2" t="str">
        <f>IFERROR(__xludf.DUMMYFUNCTION("""COMPUTED_VALUE"""),"24201337")</f>
        <v>24201337</v>
      </c>
      <c r="B14" s="3">
        <f>IFERROR(__xludf.DUMMYFUNCTION("""COMPUTED_VALUE"""),21.666666666666668)</f>
        <v>21.66666667</v>
      </c>
      <c r="C14" s="3">
        <f>IFERROR(__xludf.DUMMYFUNCTION("""COMPUTED_VALUE"""),16.666666666666668)</f>
        <v>16.66666667</v>
      </c>
      <c r="D14" s="3">
        <f>IFERROR(__xludf.DUMMYFUNCTION("""COMPUTED_VALUE"""),5.0)</f>
        <v>5</v>
      </c>
      <c r="E14" s="3">
        <f>IFERROR(__xludf.DUMMYFUNCTION("""COMPUTED_VALUE"""),20.0)</f>
        <v>20</v>
      </c>
      <c r="F14" s="3">
        <f>IFERROR(__xludf.DUMMYFUNCTION("""COMPUTED_VALUE"""),10.0)</f>
        <v>10</v>
      </c>
      <c r="G14" s="3">
        <f>IFERROR(__xludf.DUMMYFUNCTION("""COMPUTED_VALUE"""),20.0)</f>
        <v>20</v>
      </c>
      <c r="H14" s="3">
        <f>IFERROR(__xludf.DUMMYFUNCTION("""COMPUTED_VALUE"""),0.0)</f>
        <v>0</v>
      </c>
      <c r="I14" s="3">
        <f>IFERROR(__xludf.DUMMYFUNCTION("""COMPUTED_VALUE"""),0.0)</f>
        <v>0</v>
      </c>
      <c r="J14" s="3">
        <f>IFERROR(__xludf.DUMMYFUNCTION("""COMPUTED_VALUE"""),6.0)</f>
        <v>6</v>
      </c>
      <c r="K14" s="3">
        <f>IFERROR(__xludf.DUMMYFUNCTION("""COMPUTED_VALUE"""),8.0)</f>
        <v>8</v>
      </c>
      <c r="L14" s="3">
        <f>IFERROR(__xludf.DUMMYFUNCTION("""COMPUTED_VALUE"""),8.0)</f>
        <v>8</v>
      </c>
      <c r="M14" s="3">
        <f>IFERROR(__xludf.DUMMYFUNCTION("""COMPUTED_VALUE"""),8.0)</f>
        <v>8</v>
      </c>
      <c r="N14" s="3">
        <f>IFERROR(__xludf.DUMMYFUNCTION("""COMPUTED_VALUE"""),7.0)</f>
        <v>7</v>
      </c>
      <c r="O14" s="3">
        <f>IFERROR(__xludf.DUMMYFUNCTION("""COMPUTED_VALUE"""),6.0)</f>
        <v>6</v>
      </c>
      <c r="P14" s="3">
        <f>IFERROR(__xludf.DUMMYFUNCTION("""COMPUTED_VALUE"""),6.0)</f>
        <v>6</v>
      </c>
      <c r="Q14" s="3">
        <f>IFERROR(__xludf.DUMMYFUNCTION("""COMPUTED_VALUE"""),7.0)</f>
        <v>7</v>
      </c>
      <c r="R14" s="3"/>
      <c r="S14" s="3">
        <f>IFERROR(__xludf.DUMMYFUNCTION("""COMPUTED_VALUE"""),1.0)</f>
        <v>1</v>
      </c>
      <c r="T14" s="3"/>
      <c r="U14" s="3"/>
      <c r="V14" s="3">
        <f>IFERROR(__xludf.DUMMYFUNCTION("""COMPUTED_VALUE"""),1.0)</f>
        <v>1</v>
      </c>
      <c r="W14" s="3"/>
      <c r="X14" s="3"/>
      <c r="Y14" s="3"/>
      <c r="Z14" s="3">
        <f>IFERROR(__xludf.DUMMYFUNCTION("""COMPUTED_VALUE"""),0.0)</f>
        <v>0</v>
      </c>
      <c r="AA14" s="3"/>
      <c r="AB14" s="3"/>
      <c r="AC14" s="3">
        <f>IFERROR(__xludf.DUMMYFUNCTION("""COMPUTED_VALUE"""),1.0)</f>
        <v>1</v>
      </c>
      <c r="AD14" s="3"/>
      <c r="AE14" s="3">
        <f>IFERROR(__xludf.DUMMYFUNCTION("""COMPUTED_VALUE"""),1.0)</f>
        <v>1</v>
      </c>
      <c r="AF14" s="3"/>
      <c r="AG14" s="3">
        <f>IFERROR(__xludf.DUMMYFUNCTION("""COMPUTED_VALUE"""),0.0)</f>
        <v>0</v>
      </c>
      <c r="AH14" s="3"/>
      <c r="AI14" s="3">
        <f>IFERROR(__xludf.DUMMYFUNCTION("""COMPUTED_VALUE"""),0.0)</f>
        <v>0</v>
      </c>
      <c r="AJ14" s="3"/>
      <c r="AK14" s="3"/>
      <c r="AL14" s="3"/>
      <c r="AM14" s="3"/>
      <c r="AN14" s="3"/>
      <c r="AO14" s="3">
        <f>IFERROR(__xludf.DUMMYFUNCTION("""COMPUTED_VALUE"""),0.0)</f>
        <v>0</v>
      </c>
      <c r="AP14" s="3"/>
      <c r="AQ14" s="3"/>
      <c r="AR14" s="3"/>
      <c r="AS14" s="3"/>
      <c r="AT14" s="3">
        <f>IFERROR(__xludf.DUMMYFUNCTION("""COMPUTED_VALUE"""),0.0)</f>
        <v>0</v>
      </c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>
      <c r="A15" s="2" t="str">
        <f>IFERROR(__xludf.DUMMYFUNCTION("""COMPUTED_VALUE"""),"24301169")</f>
        <v>24301169</v>
      </c>
      <c r="B15" s="3">
        <f>IFERROR(__xludf.DUMMYFUNCTION("""COMPUTED_VALUE"""),0.0)</f>
        <v>0</v>
      </c>
      <c r="C15" s="3">
        <f>IFERROR(__xludf.DUMMYFUNCTION("""COMPUTED_VALUE"""),0.0)</f>
        <v>0</v>
      </c>
      <c r="D15" s="3">
        <f>IFERROR(__xludf.DUMMYFUNCTION("""COMPUTED_VALUE"""),0.0)</f>
        <v>0</v>
      </c>
      <c r="E15" s="3">
        <f>IFERROR(__xludf.DUMMYFUNCTION("""COMPUTED_VALUE"""),0.0)</f>
        <v>0</v>
      </c>
      <c r="F15" s="3">
        <f>IFERROR(__xludf.DUMMYFUNCTION("""COMPUTED_VALUE"""),0.0)</f>
        <v>0</v>
      </c>
      <c r="G15" s="3">
        <f>IFERROR(__xludf.DUMMYFUNCTION("""COMPUTED_VALUE"""),0.0)</f>
        <v>0</v>
      </c>
      <c r="H15" s="3">
        <f>IFERROR(__xludf.DUMMYFUNCTION("""COMPUTED_VALUE"""),0.0)</f>
        <v>0</v>
      </c>
      <c r="I15" s="3">
        <f>IFERROR(__xludf.DUMMYFUNCTION("""COMPUTED_VALUE"""),0.0)</f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>
      <c r="A16" s="2" t="str">
        <f>IFERROR(__xludf.DUMMYFUNCTION("""COMPUTED_VALUE"""),"24301362")</f>
        <v>24301362</v>
      </c>
      <c r="B16" s="3">
        <f>IFERROR(__xludf.DUMMYFUNCTION("""COMPUTED_VALUE"""),6.0)</f>
        <v>6</v>
      </c>
      <c r="C16" s="3">
        <f>IFERROR(__xludf.DUMMYFUNCTION("""COMPUTED_VALUE"""),1.0)</f>
        <v>1</v>
      </c>
      <c r="D16" s="3">
        <f>IFERROR(__xludf.DUMMYFUNCTION("""COMPUTED_VALUE"""),5.0)</f>
        <v>5</v>
      </c>
      <c r="E16" s="3">
        <f>IFERROR(__xludf.DUMMYFUNCTION("""COMPUTED_VALUE"""),0.0)</f>
        <v>0</v>
      </c>
      <c r="F16" s="3">
        <f>IFERROR(__xludf.DUMMYFUNCTION("""COMPUTED_VALUE"""),1.0)</f>
        <v>1</v>
      </c>
      <c r="G16" s="3">
        <f>IFERROR(__xludf.DUMMYFUNCTION("""COMPUTED_VALUE"""),0.0)</f>
        <v>0</v>
      </c>
      <c r="H16" s="3">
        <f>IFERROR(__xludf.DUMMYFUNCTION("""COMPUTED_VALUE"""),0.0)</f>
        <v>0</v>
      </c>
      <c r="I16" s="3">
        <f>IFERROR(__xludf.DUMMYFUNCTION("""COMPUTED_VALUE"""),2.0)</f>
        <v>2</v>
      </c>
      <c r="J16" s="3">
        <f>IFERROR(__xludf.DUMMYFUNCTION("""COMPUTED_VALUE"""),8.0)</f>
        <v>8</v>
      </c>
      <c r="K16" s="3">
        <f>IFERROR(__xludf.DUMMYFUNCTION("""COMPUTED_VALUE"""),8.0)</f>
        <v>8</v>
      </c>
      <c r="L16" s="3">
        <f>IFERROR(__xludf.DUMMYFUNCTION("""COMPUTED_VALUE"""),8.0)</f>
        <v>8</v>
      </c>
      <c r="M16" s="3">
        <f>IFERROR(__xludf.DUMMYFUNCTION("""COMPUTED_VALUE"""),8.0)</f>
        <v>8</v>
      </c>
      <c r="N16" s="3">
        <f>IFERROR(__xludf.DUMMYFUNCTION("""COMPUTED_VALUE"""),8.0)</f>
        <v>8</v>
      </c>
      <c r="O16" s="3">
        <f>IFERROR(__xludf.DUMMYFUNCTION("""COMPUTED_VALUE"""),8.0)</f>
        <v>8</v>
      </c>
      <c r="P16" s="3">
        <f>IFERROR(__xludf.DUMMYFUNCTION("""COMPUTED_VALUE"""),6.0)</f>
        <v>6</v>
      </c>
      <c r="Q16" s="3">
        <f>IFERROR(__xludf.DUMMYFUNCTION("""COMPUTED_VALUE"""),7.0)</f>
        <v>7</v>
      </c>
      <c r="R16" s="3"/>
      <c r="S16" s="3">
        <f>IFERROR(__xludf.DUMMYFUNCTION("""COMPUTED_VALUE"""),0.0)</f>
        <v>0</v>
      </c>
      <c r="T16" s="3"/>
      <c r="U16" s="3"/>
      <c r="V16" s="3">
        <f>IFERROR(__xludf.DUMMYFUNCTION("""COMPUTED_VALUE"""),0.0)</f>
        <v>0</v>
      </c>
      <c r="W16" s="3"/>
      <c r="X16" s="3"/>
      <c r="Y16" s="3"/>
      <c r="Z16" s="3">
        <f>IFERROR(__xludf.DUMMYFUNCTION("""COMPUTED_VALUE"""),0.1)</f>
        <v>0.1</v>
      </c>
      <c r="AA16" s="3"/>
      <c r="AB16" s="3"/>
      <c r="AC16" s="3">
        <f>IFERROR(__xludf.DUMMYFUNCTION("""COMPUTED_VALUE"""),0.0)</f>
        <v>0</v>
      </c>
      <c r="AD16" s="3"/>
      <c r="AE16" s="3">
        <f>IFERROR(__xludf.DUMMYFUNCTION("""COMPUTED_VALUE"""),0.0)</f>
        <v>0</v>
      </c>
      <c r="AF16" s="3"/>
      <c r="AG16" s="3">
        <f>IFERROR(__xludf.DUMMYFUNCTION("""COMPUTED_VALUE"""),0.0)</f>
        <v>0</v>
      </c>
      <c r="AH16" s="3"/>
      <c r="AI16" s="3">
        <f>IFERROR(__xludf.DUMMYFUNCTION("""COMPUTED_VALUE"""),0.0)</f>
        <v>0</v>
      </c>
      <c r="AJ16" s="3"/>
      <c r="AK16" s="3"/>
      <c r="AL16" s="3"/>
      <c r="AM16" s="3"/>
      <c r="AN16" s="3"/>
      <c r="AO16" s="3">
        <f>IFERROR(__xludf.DUMMYFUNCTION("""COMPUTED_VALUE"""),0.1)</f>
        <v>0.1</v>
      </c>
      <c r="AP16" s="3"/>
      <c r="AQ16" s="3"/>
      <c r="AR16" s="3"/>
      <c r="AS16" s="3"/>
      <c r="AT16" s="3">
        <f>IFERROR(__xludf.DUMMYFUNCTION("""COMPUTED_VALUE"""),0.1)</f>
        <v>0.1</v>
      </c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>
      <c r="A17" s="2" t="str">
        <f>IFERROR(__xludf.DUMMYFUNCTION("""COMPUTED_VALUE"""),"24301373")</f>
        <v>24301373</v>
      </c>
      <c r="B17" s="3">
        <f>IFERROR(__xludf.DUMMYFUNCTION("""COMPUTED_VALUE"""),5.647798742138365)</f>
        <v>5.647798742</v>
      </c>
      <c r="C17" s="3">
        <f>IFERROR(__xludf.DUMMYFUNCTION("""COMPUTED_VALUE"""),3.6666666666666665)</f>
        <v>3.666666667</v>
      </c>
      <c r="D17" s="3">
        <f>IFERROR(__xludf.DUMMYFUNCTION("""COMPUTED_VALUE"""),1.9811320754716983)</f>
        <v>1.981132075</v>
      </c>
      <c r="E17" s="3">
        <f>IFERROR(__xludf.DUMMYFUNCTION("""COMPUTED_VALUE"""),10.0)</f>
        <v>10</v>
      </c>
      <c r="F17" s="3">
        <f>IFERROR(__xludf.DUMMYFUNCTION("""COMPUTED_VALUE"""),1.0)</f>
        <v>1</v>
      </c>
      <c r="G17" s="3">
        <f>IFERROR(__xludf.DUMMYFUNCTION("""COMPUTED_VALUE"""),0.0)</f>
        <v>0</v>
      </c>
      <c r="H17" s="3">
        <f>IFERROR(__xludf.DUMMYFUNCTION("""COMPUTED_VALUE"""),0.0)</f>
        <v>0</v>
      </c>
      <c r="I17" s="3">
        <f>IFERROR(__xludf.DUMMYFUNCTION("""COMPUTED_VALUE"""),0.0)</f>
        <v>0</v>
      </c>
      <c r="J17" s="3">
        <f>IFERROR(__xludf.DUMMYFUNCTION("""COMPUTED_VALUE"""),5.0)</f>
        <v>5</v>
      </c>
      <c r="K17" s="3">
        <f>IFERROR(__xludf.DUMMYFUNCTION("""COMPUTED_VALUE"""),5.0)</f>
        <v>5</v>
      </c>
      <c r="L17" s="3">
        <f>IFERROR(__xludf.DUMMYFUNCTION("""COMPUTED_VALUE"""),2.0)</f>
        <v>2</v>
      </c>
      <c r="M17" s="3">
        <f>IFERROR(__xludf.DUMMYFUNCTION("""COMPUTED_VALUE"""),5.0)</f>
        <v>5</v>
      </c>
      <c r="N17" s="3">
        <f>IFERROR(__xludf.DUMMYFUNCTION("""COMPUTED_VALUE"""),4.0)</f>
        <v>4</v>
      </c>
      <c r="O17" s="3">
        <f>IFERROR(__xludf.DUMMYFUNCTION("""COMPUTED_VALUE"""),0.0)</f>
        <v>0</v>
      </c>
      <c r="P17" s="3">
        <f>IFERROR(__xludf.DUMMYFUNCTION("""COMPUTED_VALUE"""),0.0)</f>
        <v>0</v>
      </c>
      <c r="Q17" s="3">
        <f>IFERROR(__xludf.DUMMYFUNCTION("""COMPUTED_VALUE"""),0.0)</f>
        <v>0</v>
      </c>
      <c r="R17" s="3"/>
      <c r="S17" s="3">
        <f>IFERROR(__xludf.DUMMYFUNCTION("""COMPUTED_VALUE"""),1.0)</f>
        <v>1</v>
      </c>
      <c r="T17" s="3"/>
      <c r="U17" s="3"/>
      <c r="V17" s="3">
        <f>IFERROR(__xludf.DUMMYFUNCTION("""COMPUTED_VALUE"""),0.0)</f>
        <v>0</v>
      </c>
      <c r="W17" s="3"/>
      <c r="X17" s="3"/>
      <c r="Y17" s="3"/>
      <c r="Z17" s="3">
        <f>IFERROR(__xludf.DUMMYFUNCTION("""COMPUTED_VALUE"""),0.1)</f>
        <v>0.1</v>
      </c>
      <c r="AA17" s="3"/>
      <c r="AB17" s="3"/>
      <c r="AC17" s="3">
        <f>IFERROR(__xludf.DUMMYFUNCTION("""COMPUTED_VALUE"""),0.0)</f>
        <v>0</v>
      </c>
      <c r="AD17" s="3"/>
      <c r="AE17" s="3">
        <f>IFERROR(__xludf.DUMMYFUNCTION("""COMPUTED_VALUE"""),0.0)</f>
        <v>0</v>
      </c>
      <c r="AF17" s="3"/>
      <c r="AG17" s="3">
        <f>IFERROR(__xludf.DUMMYFUNCTION("""COMPUTED_VALUE"""),0.0)</f>
        <v>0</v>
      </c>
      <c r="AH17" s="3"/>
      <c r="AI17" s="3">
        <f>IFERROR(__xludf.DUMMYFUNCTION("""COMPUTED_VALUE"""),0.0)</f>
        <v>0</v>
      </c>
      <c r="AJ17" s="3"/>
      <c r="AK17" s="3"/>
      <c r="AL17" s="3"/>
      <c r="AM17" s="3"/>
      <c r="AN17" s="3"/>
      <c r="AO17" s="3">
        <f>IFERROR(__xludf.DUMMYFUNCTION("""COMPUTED_VALUE"""),0.0)</f>
        <v>0</v>
      </c>
      <c r="AP17" s="3"/>
      <c r="AQ17" s="3"/>
      <c r="AR17" s="3"/>
      <c r="AS17" s="3"/>
      <c r="AT17" s="3">
        <f>IFERROR(__xludf.DUMMYFUNCTION("""COMPUTED_VALUE"""),0.0)</f>
        <v>0</v>
      </c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>
      <c r="A18" s="2" t="str">
        <f>IFERROR(__xludf.DUMMYFUNCTION("""COMPUTED_VALUE"""),"24301397")</f>
        <v>24301397</v>
      </c>
      <c r="B18" s="3">
        <f>IFERROR(__xludf.DUMMYFUNCTION("""COMPUTED_VALUE"""),6.333333333333333)</f>
        <v>6.333333333</v>
      </c>
      <c r="C18" s="3">
        <f>IFERROR(__xludf.DUMMYFUNCTION("""COMPUTED_VALUE"""),1.3333333333333333)</f>
        <v>1.333333333</v>
      </c>
      <c r="D18" s="3">
        <f>IFERROR(__xludf.DUMMYFUNCTION("""COMPUTED_VALUE"""),5.0)</f>
        <v>5</v>
      </c>
      <c r="E18" s="3">
        <f>IFERROR(__xludf.DUMMYFUNCTION("""COMPUTED_VALUE"""),0.0)</f>
        <v>0</v>
      </c>
      <c r="F18" s="3">
        <f>IFERROR(__xludf.DUMMYFUNCTION("""COMPUTED_VALUE"""),0.0)</f>
        <v>0</v>
      </c>
      <c r="G18" s="3">
        <f>IFERROR(__xludf.DUMMYFUNCTION("""COMPUTED_VALUE"""),0.0)</f>
        <v>0</v>
      </c>
      <c r="H18" s="3">
        <f>IFERROR(__xludf.DUMMYFUNCTION("""COMPUTED_VALUE"""),2.0)</f>
        <v>2</v>
      </c>
      <c r="I18" s="3">
        <f>IFERROR(__xludf.DUMMYFUNCTION("""COMPUTED_VALUE"""),2.0)</f>
        <v>2</v>
      </c>
      <c r="J18" s="3">
        <f>IFERROR(__xludf.DUMMYFUNCTION("""COMPUTED_VALUE"""),8.0)</f>
        <v>8</v>
      </c>
      <c r="K18" s="3">
        <f>IFERROR(__xludf.DUMMYFUNCTION("""COMPUTED_VALUE"""),8.0)</f>
        <v>8</v>
      </c>
      <c r="L18" s="3">
        <f>IFERROR(__xludf.DUMMYFUNCTION("""COMPUTED_VALUE"""),8.0)</f>
        <v>8</v>
      </c>
      <c r="M18" s="3">
        <f>IFERROR(__xludf.DUMMYFUNCTION("""COMPUTED_VALUE"""),8.0)</f>
        <v>8</v>
      </c>
      <c r="N18" s="3">
        <f>IFERROR(__xludf.DUMMYFUNCTION("""COMPUTED_VALUE"""),8.0)</f>
        <v>8</v>
      </c>
      <c r="O18" s="3">
        <f>IFERROR(__xludf.DUMMYFUNCTION("""COMPUTED_VALUE"""),8.0)</f>
        <v>8</v>
      </c>
      <c r="P18" s="3">
        <f>IFERROR(__xludf.DUMMYFUNCTION("""COMPUTED_VALUE"""),6.0)</f>
        <v>6</v>
      </c>
      <c r="Q18" s="3">
        <f>IFERROR(__xludf.DUMMYFUNCTION("""COMPUTED_VALUE"""),0.0)</f>
        <v>0</v>
      </c>
      <c r="R18" s="3"/>
      <c r="S18" s="3">
        <f>IFERROR(__xludf.DUMMYFUNCTION("""COMPUTED_VALUE"""),0.0)</f>
        <v>0</v>
      </c>
      <c r="T18" s="3"/>
      <c r="U18" s="3"/>
      <c r="V18" s="3">
        <f>IFERROR(__xludf.DUMMYFUNCTION("""COMPUTED_VALUE"""),0.0)</f>
        <v>0</v>
      </c>
      <c r="W18" s="3"/>
      <c r="X18" s="3"/>
      <c r="Y18" s="3"/>
      <c r="Z18" s="3">
        <f>IFERROR(__xludf.DUMMYFUNCTION("""COMPUTED_VALUE"""),0.0)</f>
        <v>0</v>
      </c>
      <c r="AA18" s="3"/>
      <c r="AB18" s="3"/>
      <c r="AC18" s="3">
        <f>IFERROR(__xludf.DUMMYFUNCTION("""COMPUTED_VALUE"""),0.0)</f>
        <v>0</v>
      </c>
      <c r="AD18" s="3"/>
      <c r="AE18" s="3">
        <f>IFERROR(__xludf.DUMMYFUNCTION("""COMPUTED_VALUE"""),0.0)</f>
        <v>0</v>
      </c>
      <c r="AF18" s="3"/>
      <c r="AG18" s="3">
        <f>IFERROR(__xludf.DUMMYFUNCTION("""COMPUTED_VALUE"""),0.1)</f>
        <v>0.1</v>
      </c>
      <c r="AH18" s="3"/>
      <c r="AI18" s="3">
        <f>IFERROR(__xludf.DUMMYFUNCTION("""COMPUTED_VALUE"""),0.1)</f>
        <v>0.1</v>
      </c>
      <c r="AJ18" s="3"/>
      <c r="AK18" s="3"/>
      <c r="AL18" s="3"/>
      <c r="AM18" s="3"/>
      <c r="AN18" s="3"/>
      <c r="AO18" s="3">
        <f>IFERROR(__xludf.DUMMYFUNCTION("""COMPUTED_VALUE"""),0.1)</f>
        <v>0.1</v>
      </c>
      <c r="AP18" s="3"/>
      <c r="AQ18" s="3"/>
      <c r="AR18" s="3"/>
      <c r="AS18" s="3"/>
      <c r="AT18" s="3">
        <f>IFERROR(__xludf.DUMMYFUNCTION("""COMPUTED_VALUE"""),0.1)</f>
        <v>0.1</v>
      </c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>
      <c r="A19" s="2" t="str">
        <f>IFERROR(__xludf.DUMMYFUNCTION("""COMPUTED_VALUE"""),"24321265")</f>
        <v>24321265</v>
      </c>
      <c r="B19" s="3">
        <f>IFERROR(__xludf.DUMMYFUNCTION("""COMPUTED_VALUE"""),6.264150943396226)</f>
        <v>6.264150943</v>
      </c>
      <c r="C19" s="3">
        <f>IFERROR(__xludf.DUMMYFUNCTION("""COMPUTED_VALUE"""),4.0)</f>
        <v>4</v>
      </c>
      <c r="D19" s="3">
        <f>IFERROR(__xludf.DUMMYFUNCTION("""COMPUTED_VALUE"""),2.2641509433962264)</f>
        <v>2.264150943</v>
      </c>
      <c r="E19" s="3">
        <f>IFERROR(__xludf.DUMMYFUNCTION("""COMPUTED_VALUE"""),0.0)</f>
        <v>0</v>
      </c>
      <c r="F19" s="3">
        <f>IFERROR(__xludf.DUMMYFUNCTION("""COMPUTED_VALUE"""),0.0)</f>
        <v>0</v>
      </c>
      <c r="G19" s="3">
        <f>IFERROR(__xludf.DUMMYFUNCTION("""COMPUTED_VALUE"""),4.0)</f>
        <v>4</v>
      </c>
      <c r="H19" s="3">
        <f>IFERROR(__xludf.DUMMYFUNCTION("""COMPUTED_VALUE"""),4.0)</f>
        <v>4</v>
      </c>
      <c r="I19" s="3">
        <f>IFERROR(__xludf.DUMMYFUNCTION("""COMPUTED_VALUE"""),4.0)</f>
        <v>4</v>
      </c>
      <c r="J19" s="3">
        <f>IFERROR(__xludf.DUMMYFUNCTION("""COMPUTED_VALUE"""),0.0)</f>
        <v>0</v>
      </c>
      <c r="K19" s="3">
        <f>IFERROR(__xludf.DUMMYFUNCTION("""COMPUTED_VALUE"""),8.0)</f>
        <v>8</v>
      </c>
      <c r="L19" s="3">
        <f>IFERROR(__xludf.DUMMYFUNCTION("""COMPUTED_VALUE"""),8.0)</f>
        <v>8</v>
      </c>
      <c r="M19" s="3">
        <f>IFERROR(__xludf.DUMMYFUNCTION("""COMPUTED_VALUE"""),0.0)</f>
        <v>0</v>
      </c>
      <c r="N19" s="3">
        <f>IFERROR(__xludf.DUMMYFUNCTION("""COMPUTED_VALUE"""),0.0)</f>
        <v>0</v>
      </c>
      <c r="O19" s="3">
        <f>IFERROR(__xludf.DUMMYFUNCTION("""COMPUTED_VALUE"""),8.0)</f>
        <v>8</v>
      </c>
      <c r="P19" s="3">
        <f>IFERROR(__xludf.DUMMYFUNCTION("""COMPUTED_VALUE"""),0.0)</f>
        <v>0</v>
      </c>
      <c r="Q19" s="3">
        <f>IFERROR(__xludf.DUMMYFUNCTION("""COMPUTED_VALUE"""),0.0)</f>
        <v>0</v>
      </c>
      <c r="R19" s="3"/>
      <c r="S19" s="3">
        <f>IFERROR(__xludf.DUMMYFUNCTION("""COMPUTED_VALUE"""),0.0)</f>
        <v>0</v>
      </c>
      <c r="T19" s="3"/>
      <c r="U19" s="3"/>
      <c r="V19" s="3">
        <f>IFERROR(__xludf.DUMMYFUNCTION("""COMPUTED_VALUE"""),0.0)</f>
        <v>0</v>
      </c>
      <c r="W19" s="3"/>
      <c r="X19" s="3"/>
      <c r="Y19" s="3"/>
      <c r="Z19" s="3">
        <f>IFERROR(__xludf.DUMMYFUNCTION("""COMPUTED_VALUE"""),0.0)</f>
        <v>0</v>
      </c>
      <c r="AA19" s="3"/>
      <c r="AB19" s="3"/>
      <c r="AC19" s="3">
        <f>IFERROR(__xludf.DUMMYFUNCTION("""COMPUTED_VALUE"""),0.0)</f>
        <v>0</v>
      </c>
      <c r="AD19" s="3"/>
      <c r="AE19" s="3">
        <f>IFERROR(__xludf.DUMMYFUNCTION("""COMPUTED_VALUE"""),0.2)</f>
        <v>0.2</v>
      </c>
      <c r="AF19" s="3"/>
      <c r="AG19" s="3">
        <f>IFERROR(__xludf.DUMMYFUNCTION("""COMPUTED_VALUE"""),0.2)</f>
        <v>0.2</v>
      </c>
      <c r="AH19" s="3"/>
      <c r="AI19" s="3">
        <f>IFERROR(__xludf.DUMMYFUNCTION("""COMPUTED_VALUE"""),0.2)</f>
        <v>0.2</v>
      </c>
      <c r="AJ19" s="3"/>
      <c r="AK19" s="3"/>
      <c r="AL19" s="3"/>
      <c r="AM19" s="3"/>
      <c r="AN19" s="3"/>
      <c r="AO19" s="3">
        <f>IFERROR(__xludf.DUMMYFUNCTION("""COMPUTED_VALUE"""),0.2)</f>
        <v>0.2</v>
      </c>
      <c r="AP19" s="3"/>
      <c r="AQ19" s="3"/>
      <c r="AR19" s="3"/>
      <c r="AS19" s="3"/>
      <c r="AT19" s="3">
        <f>IFERROR(__xludf.DUMMYFUNCTION("""COMPUTED_VALUE"""),0.2)</f>
        <v>0.2</v>
      </c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>
      <c r="A20" s="2" t="str">
        <f>IFERROR(__xludf.DUMMYFUNCTION("""COMPUTED_VALUE"""),"24341064")</f>
        <v>24341064</v>
      </c>
      <c r="B20" s="3">
        <f>IFERROR(__xludf.DUMMYFUNCTION("""COMPUTED_VALUE"""),0.0)</f>
        <v>0</v>
      </c>
      <c r="C20" s="3">
        <f>IFERROR(__xludf.DUMMYFUNCTION("""COMPUTED_VALUE"""),0.0)</f>
        <v>0</v>
      </c>
      <c r="D20" s="3">
        <f>IFERROR(__xludf.DUMMYFUNCTION("""COMPUTED_VALUE"""),0.0)</f>
        <v>0</v>
      </c>
      <c r="E20" s="3">
        <f>IFERROR(__xludf.DUMMYFUNCTION("""COMPUTED_VALUE"""),0.0)</f>
        <v>0</v>
      </c>
      <c r="F20" s="3">
        <f>IFERROR(__xludf.DUMMYFUNCTION("""COMPUTED_VALUE"""),0.0)</f>
        <v>0</v>
      </c>
      <c r="G20" s="3">
        <f>IFERROR(__xludf.DUMMYFUNCTION("""COMPUTED_VALUE"""),0.0)</f>
        <v>0</v>
      </c>
      <c r="H20" s="3">
        <f>IFERROR(__xludf.DUMMYFUNCTION("""COMPUTED_VALUE"""),0.0)</f>
        <v>0</v>
      </c>
      <c r="I20" s="3">
        <f>IFERROR(__xludf.DUMMYFUNCTION("""COMPUTED_VALUE"""),0.0)</f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>
      <c r="A43" s="2" t="s">
        <v>1</v>
      </c>
      <c r="B43" s="3">
        <f t="array" ref="B43:BZ49">bycol(B3:BZ42,lambda(x,{average(x);median(x);mode(x);min(x);max(x);counta(x);countif(x,0)}))</f>
        <v>5.56743536</v>
      </c>
      <c r="C43" s="3">
        <v>2.925925925925926</v>
      </c>
      <c r="D43" s="3">
        <v>2.6415094339622645</v>
      </c>
      <c r="E43" s="3">
        <v>2.3333333333333335</v>
      </c>
      <c r="F43" s="3">
        <v>1.4444444444444444</v>
      </c>
      <c r="G43" s="3">
        <v>2.6666666666666665</v>
      </c>
      <c r="H43" s="3">
        <v>0.6666666666666666</v>
      </c>
      <c r="I43" s="3">
        <v>1.8888888888888888</v>
      </c>
      <c r="J43" s="3">
        <v>5.066666666666666</v>
      </c>
      <c r="K43" s="3">
        <v>6.066666666666666</v>
      </c>
      <c r="L43" s="3">
        <v>5.666666666666667</v>
      </c>
      <c r="M43" s="3">
        <v>4.066666666666666</v>
      </c>
      <c r="N43" s="3">
        <v>3.8</v>
      </c>
      <c r="O43" s="3">
        <v>4.466666666666667</v>
      </c>
      <c r="P43" s="3">
        <v>3.4</v>
      </c>
      <c r="Q43" s="3">
        <v>2.0</v>
      </c>
      <c r="R43" s="3" t="e">
        <v>#DIV/0!</v>
      </c>
      <c r="S43" s="3">
        <v>0.20666666666666667</v>
      </c>
      <c r="T43" s="3" t="e">
        <v>#DIV/0!</v>
      </c>
      <c r="U43" s="3" t="e">
        <v>#DIV/0!</v>
      </c>
      <c r="V43" s="3">
        <v>0.07333333333333333</v>
      </c>
      <c r="W43" s="3" t="e">
        <v>#DIV/0!</v>
      </c>
      <c r="X43" s="3" t="e">
        <v>#DIV/0!</v>
      </c>
      <c r="Y43" s="3" t="e">
        <v>#DIV/0!</v>
      </c>
      <c r="Z43" s="3">
        <v>0.03076923076923077</v>
      </c>
      <c r="AA43" s="3" t="e">
        <v>#DIV/0!</v>
      </c>
      <c r="AB43" s="3" t="e">
        <v>#DIV/0!</v>
      </c>
      <c r="AC43" s="3">
        <v>0.16923076923076924</v>
      </c>
      <c r="AD43" s="3" t="e">
        <v>#DIV/0!</v>
      </c>
      <c r="AE43" s="3">
        <v>0.21818181818181823</v>
      </c>
      <c r="AF43" s="3" t="e">
        <v>#DIV/0!</v>
      </c>
      <c r="AG43" s="3">
        <v>0.05000000000000001</v>
      </c>
      <c r="AH43" s="3" t="e">
        <v>#DIV/0!</v>
      </c>
      <c r="AI43" s="3">
        <v>0.05000000000000001</v>
      </c>
      <c r="AJ43" s="3" t="e">
        <v>#DIV/0!</v>
      </c>
      <c r="AK43" s="3" t="e">
        <v>#DIV/0!</v>
      </c>
      <c r="AL43" s="3" t="e">
        <v>#DIV/0!</v>
      </c>
      <c r="AM43" s="3" t="e">
        <v>#DIV/0!</v>
      </c>
      <c r="AN43" s="3" t="e">
        <v>#DIV/0!</v>
      </c>
      <c r="AO43" s="3">
        <v>0.15</v>
      </c>
      <c r="AP43" s="3" t="e">
        <v>#DIV/0!</v>
      </c>
      <c r="AQ43" s="3" t="e">
        <v>#DIV/0!</v>
      </c>
      <c r="AR43" s="3" t="e">
        <v>#DIV/0!</v>
      </c>
      <c r="AS43" s="3" t="e">
        <v>#DIV/0!</v>
      </c>
      <c r="AT43" s="3">
        <v>0.13333333333333336</v>
      </c>
      <c r="AU43" s="3" t="e">
        <v>#DIV/0!</v>
      </c>
      <c r="AV43" s="3" t="e">
        <v>#DIV/0!</v>
      </c>
      <c r="AW43" s="3" t="e">
        <v>#DIV/0!</v>
      </c>
      <c r="AX43" s="3" t="e">
        <v>#DIV/0!</v>
      </c>
      <c r="AY43" s="3" t="e">
        <v>#DIV/0!</v>
      </c>
      <c r="AZ43" s="3" t="e">
        <v>#DIV/0!</v>
      </c>
      <c r="BA43" s="3" t="e">
        <v>#DIV/0!</v>
      </c>
      <c r="BB43" s="3" t="e">
        <v>#DIV/0!</v>
      </c>
      <c r="BC43" s="3" t="e">
        <v>#DIV/0!</v>
      </c>
      <c r="BD43" s="3" t="e">
        <v>#DIV/0!</v>
      </c>
      <c r="BE43" s="3" t="e">
        <v>#DIV/0!</v>
      </c>
      <c r="BF43" s="3" t="e">
        <v>#DIV/0!</v>
      </c>
      <c r="BG43" s="3" t="e">
        <v>#DIV/0!</v>
      </c>
      <c r="BH43" s="3" t="e">
        <v>#DIV/0!</v>
      </c>
      <c r="BI43" s="3" t="e">
        <v>#DIV/0!</v>
      </c>
      <c r="BJ43" s="3" t="e">
        <v>#DIV/0!</v>
      </c>
      <c r="BK43" s="3" t="e">
        <v>#DIV/0!</v>
      </c>
      <c r="BL43" s="3" t="e">
        <v>#DIV/0!</v>
      </c>
      <c r="BM43" s="3" t="e">
        <v>#DIV/0!</v>
      </c>
      <c r="BN43" s="3" t="e">
        <v>#DIV/0!</v>
      </c>
      <c r="BO43" s="3" t="e">
        <v>#DIV/0!</v>
      </c>
      <c r="BP43" s="3" t="e">
        <v>#DIV/0!</v>
      </c>
      <c r="BQ43" s="3" t="e">
        <v>#DIV/0!</v>
      </c>
      <c r="BR43" s="3" t="e">
        <v>#DIV/0!</v>
      </c>
      <c r="BS43" s="3" t="e">
        <v>#DIV/0!</v>
      </c>
      <c r="BT43" s="3" t="e">
        <v>#DIV/0!</v>
      </c>
      <c r="BU43" s="3" t="e">
        <v>#DIV/0!</v>
      </c>
      <c r="BV43" s="3" t="e">
        <v>#DIV/0!</v>
      </c>
      <c r="BW43" s="3" t="e">
        <v>#DIV/0!</v>
      </c>
      <c r="BX43" s="3" t="e">
        <v>#DIV/0!</v>
      </c>
      <c r="BY43" s="3" t="e">
        <v>#DIV/0!</v>
      </c>
      <c r="BZ43" s="3" t="e">
        <v>#DIV/0!</v>
      </c>
    </row>
    <row r="44">
      <c r="A44" s="2" t="s">
        <v>2</v>
      </c>
      <c r="B44" s="3">
        <v>4.767295597484277</v>
      </c>
      <c r="C44" s="3">
        <v>0.8333333333333333</v>
      </c>
      <c r="D44" s="3">
        <v>2.4056603773584904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6.0</v>
      </c>
      <c r="K44" s="3">
        <v>8.0</v>
      </c>
      <c r="L44" s="3">
        <v>8.0</v>
      </c>
      <c r="M44" s="3">
        <v>5.0</v>
      </c>
      <c r="N44" s="3">
        <v>4.0</v>
      </c>
      <c r="O44" s="3">
        <v>6.0</v>
      </c>
      <c r="P44" s="3">
        <v>6.0</v>
      </c>
      <c r="Q44" s="3">
        <v>0.0</v>
      </c>
      <c r="R44" s="3" t="e">
        <v>#NUM!</v>
      </c>
      <c r="S44" s="3">
        <v>0.0</v>
      </c>
      <c r="T44" s="3" t="e">
        <v>#NUM!</v>
      </c>
      <c r="U44" s="3" t="e">
        <v>#NUM!</v>
      </c>
      <c r="V44" s="3">
        <v>0.0</v>
      </c>
      <c r="W44" s="3" t="e">
        <v>#NUM!</v>
      </c>
      <c r="X44" s="3" t="e">
        <v>#NUM!</v>
      </c>
      <c r="Y44" s="3" t="e">
        <v>#NUM!</v>
      </c>
      <c r="Z44" s="3">
        <v>0.0</v>
      </c>
      <c r="AA44" s="3" t="e">
        <v>#NUM!</v>
      </c>
      <c r="AB44" s="3" t="e">
        <v>#NUM!</v>
      </c>
      <c r="AC44" s="3">
        <v>0.0</v>
      </c>
      <c r="AD44" s="3" t="e">
        <v>#NUM!</v>
      </c>
      <c r="AE44" s="3">
        <v>0.0</v>
      </c>
      <c r="AF44" s="3" t="e">
        <v>#NUM!</v>
      </c>
      <c r="AG44" s="3">
        <v>0.0</v>
      </c>
      <c r="AH44" s="3" t="e">
        <v>#NUM!</v>
      </c>
      <c r="AI44" s="3">
        <v>0.0</v>
      </c>
      <c r="AJ44" s="3" t="e">
        <v>#NUM!</v>
      </c>
      <c r="AK44" s="3" t="e">
        <v>#NUM!</v>
      </c>
      <c r="AL44" s="3" t="e">
        <v>#NUM!</v>
      </c>
      <c r="AM44" s="3" t="e">
        <v>#NUM!</v>
      </c>
      <c r="AN44" s="3" t="e">
        <v>#NUM!</v>
      </c>
      <c r="AO44" s="3">
        <v>0.1</v>
      </c>
      <c r="AP44" s="3" t="e">
        <v>#NUM!</v>
      </c>
      <c r="AQ44" s="3" t="e">
        <v>#NUM!</v>
      </c>
      <c r="AR44" s="3" t="e">
        <v>#NUM!</v>
      </c>
      <c r="AS44" s="3" t="e">
        <v>#NUM!</v>
      </c>
      <c r="AT44" s="3">
        <v>0.1</v>
      </c>
      <c r="AU44" s="3" t="e">
        <v>#NUM!</v>
      </c>
      <c r="AV44" s="3" t="e">
        <v>#NUM!</v>
      </c>
      <c r="AW44" s="3" t="e">
        <v>#NUM!</v>
      </c>
      <c r="AX44" s="3" t="e">
        <v>#NUM!</v>
      </c>
      <c r="AY44" s="3" t="e">
        <v>#NUM!</v>
      </c>
      <c r="AZ44" s="3" t="e">
        <v>#NUM!</v>
      </c>
      <c r="BA44" s="3" t="e">
        <v>#NUM!</v>
      </c>
      <c r="BB44" s="3" t="e">
        <v>#NUM!</v>
      </c>
      <c r="BC44" s="3" t="e">
        <v>#NUM!</v>
      </c>
      <c r="BD44" s="3" t="e">
        <v>#NUM!</v>
      </c>
      <c r="BE44" s="3" t="e">
        <v>#NUM!</v>
      </c>
      <c r="BF44" s="3" t="e">
        <v>#NUM!</v>
      </c>
      <c r="BG44" s="3" t="e">
        <v>#NUM!</v>
      </c>
      <c r="BH44" s="3" t="e">
        <v>#NUM!</v>
      </c>
      <c r="BI44" s="3" t="e">
        <v>#NUM!</v>
      </c>
      <c r="BJ44" s="3" t="e">
        <v>#NUM!</v>
      </c>
      <c r="BK44" s="3" t="e">
        <v>#NUM!</v>
      </c>
      <c r="BL44" s="3" t="e">
        <v>#NUM!</v>
      </c>
      <c r="BM44" s="3" t="e">
        <v>#NUM!</v>
      </c>
      <c r="BN44" s="3" t="e">
        <v>#NUM!</v>
      </c>
      <c r="BO44" s="3" t="e">
        <v>#NUM!</v>
      </c>
      <c r="BP44" s="3" t="e">
        <v>#NUM!</v>
      </c>
      <c r="BQ44" s="3" t="e">
        <v>#NUM!</v>
      </c>
      <c r="BR44" s="3" t="e">
        <v>#NUM!</v>
      </c>
      <c r="BS44" s="3" t="e">
        <v>#NUM!</v>
      </c>
      <c r="BT44" s="3" t="e">
        <v>#NUM!</v>
      </c>
      <c r="BU44" s="3" t="e">
        <v>#NUM!</v>
      </c>
      <c r="BV44" s="3" t="e">
        <v>#NUM!</v>
      </c>
      <c r="BW44" s="3" t="e">
        <v>#NUM!</v>
      </c>
      <c r="BX44" s="3" t="e">
        <v>#NUM!</v>
      </c>
      <c r="BY44" s="3" t="e">
        <v>#NUM!</v>
      </c>
      <c r="BZ44" s="3" t="e">
        <v>#NUM!</v>
      </c>
    </row>
    <row r="45">
      <c r="A45" s="5" t="s">
        <v>3</v>
      </c>
      <c r="B45" s="6">
        <v>0.0</v>
      </c>
      <c r="C45" s="6">
        <v>0.0</v>
      </c>
      <c r="D45" s="6">
        <v>5.0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8.0</v>
      </c>
      <c r="K45" s="6">
        <v>8.0</v>
      </c>
      <c r="L45" s="6">
        <v>8.0</v>
      </c>
      <c r="M45" s="6">
        <v>0.0</v>
      </c>
      <c r="N45" s="6">
        <v>0.0</v>
      </c>
      <c r="O45" s="6">
        <v>0.0</v>
      </c>
      <c r="P45" s="6">
        <v>6.0</v>
      </c>
      <c r="Q45" s="6">
        <v>0.0</v>
      </c>
      <c r="R45" s="6" t="e">
        <v>#N/A</v>
      </c>
      <c r="S45" s="6">
        <v>0.0</v>
      </c>
      <c r="T45" s="6" t="e">
        <v>#N/A</v>
      </c>
      <c r="U45" s="6" t="e">
        <v>#N/A</v>
      </c>
      <c r="V45" s="6">
        <v>0.0</v>
      </c>
      <c r="W45" s="6" t="e">
        <v>#N/A</v>
      </c>
      <c r="X45" s="6" t="e">
        <v>#N/A</v>
      </c>
      <c r="Y45" s="6" t="e">
        <v>#N/A</v>
      </c>
      <c r="Z45" s="6">
        <v>0.0</v>
      </c>
      <c r="AA45" s="6" t="e">
        <v>#N/A</v>
      </c>
      <c r="AB45" s="6" t="e">
        <v>#N/A</v>
      </c>
      <c r="AC45" s="6">
        <v>0.0</v>
      </c>
      <c r="AD45" s="6" t="e">
        <v>#N/A</v>
      </c>
      <c r="AE45" s="6">
        <v>0.0</v>
      </c>
      <c r="AF45" s="6" t="e">
        <v>#N/A</v>
      </c>
      <c r="AG45" s="6">
        <v>0.0</v>
      </c>
      <c r="AH45" s="6" t="e">
        <v>#N/A</v>
      </c>
      <c r="AI45" s="6">
        <v>0.0</v>
      </c>
      <c r="AJ45" s="6" t="e">
        <v>#N/A</v>
      </c>
      <c r="AK45" s="6" t="e">
        <v>#N/A</v>
      </c>
      <c r="AL45" s="6" t="e">
        <v>#N/A</v>
      </c>
      <c r="AM45" s="6" t="e">
        <v>#N/A</v>
      </c>
      <c r="AN45" s="6" t="e">
        <v>#N/A</v>
      </c>
      <c r="AO45" s="6">
        <v>0.0</v>
      </c>
      <c r="AP45" s="6" t="e">
        <v>#N/A</v>
      </c>
      <c r="AQ45" s="6" t="e">
        <v>#N/A</v>
      </c>
      <c r="AR45" s="6" t="e">
        <v>#N/A</v>
      </c>
      <c r="AS45" s="6" t="e">
        <v>#N/A</v>
      </c>
      <c r="AT45" s="6">
        <v>0.0</v>
      </c>
      <c r="AU45" s="6" t="e">
        <v>#N/A</v>
      </c>
      <c r="AV45" s="6" t="e">
        <v>#N/A</v>
      </c>
      <c r="AW45" s="6" t="e">
        <v>#N/A</v>
      </c>
      <c r="AX45" s="6" t="e">
        <v>#N/A</v>
      </c>
      <c r="AY45" s="6" t="e">
        <v>#N/A</v>
      </c>
      <c r="AZ45" s="6" t="e">
        <v>#N/A</v>
      </c>
      <c r="BA45" s="6" t="e">
        <v>#N/A</v>
      </c>
      <c r="BB45" s="6" t="e">
        <v>#N/A</v>
      </c>
      <c r="BC45" s="6" t="e">
        <v>#N/A</v>
      </c>
      <c r="BD45" s="6" t="e">
        <v>#N/A</v>
      </c>
      <c r="BE45" s="6" t="e">
        <v>#N/A</v>
      </c>
      <c r="BF45" s="6" t="e">
        <v>#N/A</v>
      </c>
      <c r="BG45" s="6" t="e">
        <v>#N/A</v>
      </c>
      <c r="BH45" s="6" t="e">
        <v>#N/A</v>
      </c>
      <c r="BI45" s="6" t="e">
        <v>#N/A</v>
      </c>
      <c r="BJ45" s="6" t="e">
        <v>#N/A</v>
      </c>
      <c r="BK45" s="6" t="e">
        <v>#N/A</v>
      </c>
      <c r="BL45" s="6" t="e">
        <v>#N/A</v>
      </c>
      <c r="BM45" s="6" t="e">
        <v>#N/A</v>
      </c>
      <c r="BN45" s="6" t="e">
        <v>#N/A</v>
      </c>
      <c r="BO45" s="6" t="e">
        <v>#N/A</v>
      </c>
      <c r="BP45" s="6" t="e">
        <v>#N/A</v>
      </c>
      <c r="BQ45" s="6" t="e">
        <v>#N/A</v>
      </c>
      <c r="BR45" s="6" t="e">
        <v>#N/A</v>
      </c>
      <c r="BS45" s="6" t="e">
        <v>#N/A</v>
      </c>
      <c r="BT45" s="6" t="e">
        <v>#N/A</v>
      </c>
      <c r="BU45" s="6" t="e">
        <v>#N/A</v>
      </c>
      <c r="BV45" s="6" t="e">
        <v>#N/A</v>
      </c>
      <c r="BW45" s="6" t="e">
        <v>#N/A</v>
      </c>
      <c r="BX45" s="6" t="e">
        <v>#N/A</v>
      </c>
      <c r="BY45" s="6" t="e">
        <v>#N/A</v>
      </c>
      <c r="BZ45" s="6" t="e">
        <v>#N/A</v>
      </c>
    </row>
    <row r="46">
      <c r="A46" s="5" t="s">
        <v>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0.0</v>
      </c>
      <c r="BB46" s="6">
        <v>0.0</v>
      </c>
      <c r="BC46" s="6">
        <v>0.0</v>
      </c>
      <c r="BD46" s="6">
        <v>0.0</v>
      </c>
      <c r="BE46" s="6">
        <v>0.0</v>
      </c>
      <c r="BF46" s="6">
        <v>0.0</v>
      </c>
      <c r="BG46" s="6">
        <v>0.0</v>
      </c>
      <c r="BH46" s="6">
        <v>0.0</v>
      </c>
      <c r="BI46" s="6">
        <v>0.0</v>
      </c>
      <c r="BJ46" s="6">
        <v>0.0</v>
      </c>
      <c r="BK46" s="6">
        <v>0.0</v>
      </c>
      <c r="BL46" s="6">
        <v>0.0</v>
      </c>
      <c r="BM46" s="6">
        <v>0.0</v>
      </c>
      <c r="BN46" s="6">
        <v>0.0</v>
      </c>
      <c r="BO46" s="6">
        <v>0.0</v>
      </c>
      <c r="BP46" s="6">
        <v>0.0</v>
      </c>
      <c r="BQ46" s="6">
        <v>0.0</v>
      </c>
      <c r="BR46" s="6">
        <v>0.0</v>
      </c>
      <c r="BS46" s="6">
        <v>0.0</v>
      </c>
      <c r="BT46" s="6">
        <v>0.0</v>
      </c>
      <c r="BU46" s="6">
        <v>0.0</v>
      </c>
      <c r="BV46" s="6">
        <v>0.0</v>
      </c>
      <c r="BW46" s="6">
        <v>0.0</v>
      </c>
      <c r="BX46" s="6">
        <v>0.0</v>
      </c>
      <c r="BY46" s="6">
        <v>0.0</v>
      </c>
      <c r="BZ46" s="6">
        <v>0.0</v>
      </c>
    </row>
    <row r="47">
      <c r="A47" s="5" t="s">
        <v>5</v>
      </c>
      <c r="B47" s="6">
        <v>21.666666666666668</v>
      </c>
      <c r="C47" s="6">
        <v>16.666666666666668</v>
      </c>
      <c r="D47" s="6">
        <v>5.0</v>
      </c>
      <c r="E47" s="6">
        <v>20.0</v>
      </c>
      <c r="F47" s="6">
        <v>10.0</v>
      </c>
      <c r="G47" s="6">
        <v>20.0</v>
      </c>
      <c r="H47" s="6">
        <v>4.0</v>
      </c>
      <c r="I47" s="6">
        <v>18.0</v>
      </c>
      <c r="J47" s="6">
        <v>8.0</v>
      </c>
      <c r="K47" s="6">
        <v>8.0</v>
      </c>
      <c r="L47" s="6">
        <v>8.0</v>
      </c>
      <c r="M47" s="6">
        <v>8.0</v>
      </c>
      <c r="N47" s="6">
        <v>8.0</v>
      </c>
      <c r="O47" s="6">
        <v>8.0</v>
      </c>
      <c r="P47" s="6">
        <v>6.0</v>
      </c>
      <c r="Q47" s="6">
        <v>7.0</v>
      </c>
      <c r="R47" s="6">
        <v>0.0</v>
      </c>
      <c r="S47" s="6">
        <v>1.0</v>
      </c>
      <c r="T47" s="6">
        <v>0.0</v>
      </c>
      <c r="U47" s="6">
        <v>0.0</v>
      </c>
      <c r="V47" s="6">
        <v>1.0</v>
      </c>
      <c r="W47" s="6">
        <v>0.0</v>
      </c>
      <c r="X47" s="6">
        <v>0.0</v>
      </c>
      <c r="Y47" s="6">
        <v>0.0</v>
      </c>
      <c r="Z47" s="6">
        <v>0.1</v>
      </c>
      <c r="AA47" s="6">
        <v>0.0</v>
      </c>
      <c r="AB47" s="6">
        <v>0.0</v>
      </c>
      <c r="AC47" s="6">
        <v>1.0</v>
      </c>
      <c r="AD47" s="6">
        <v>0.0</v>
      </c>
      <c r="AE47" s="6">
        <v>1.0</v>
      </c>
      <c r="AF47" s="6">
        <v>0.0</v>
      </c>
      <c r="AG47" s="6">
        <v>0.2</v>
      </c>
      <c r="AH47" s="6">
        <v>0.0</v>
      </c>
      <c r="AI47" s="6">
        <v>0.2</v>
      </c>
      <c r="AJ47" s="6">
        <v>0.0</v>
      </c>
      <c r="AK47" s="6">
        <v>0.0</v>
      </c>
      <c r="AL47" s="6">
        <v>0.0</v>
      </c>
      <c r="AM47" s="6">
        <v>0.0</v>
      </c>
      <c r="AN47" s="6">
        <v>0.0</v>
      </c>
      <c r="AO47" s="6">
        <v>1.0</v>
      </c>
      <c r="AP47" s="6">
        <v>0.0</v>
      </c>
      <c r="AQ47" s="6">
        <v>0.0</v>
      </c>
      <c r="AR47" s="6">
        <v>0.0</v>
      </c>
      <c r="AS47" s="6">
        <v>0.0</v>
      </c>
      <c r="AT47" s="6">
        <v>0.8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0.0</v>
      </c>
      <c r="BA47" s="6">
        <v>0.0</v>
      </c>
      <c r="BB47" s="6">
        <v>0.0</v>
      </c>
      <c r="BC47" s="6">
        <v>0.0</v>
      </c>
      <c r="BD47" s="6">
        <v>0.0</v>
      </c>
      <c r="BE47" s="6">
        <v>0.0</v>
      </c>
      <c r="BF47" s="6">
        <v>0.0</v>
      </c>
      <c r="BG47" s="6">
        <v>0.0</v>
      </c>
      <c r="BH47" s="6">
        <v>0.0</v>
      </c>
      <c r="BI47" s="6">
        <v>0.0</v>
      </c>
      <c r="BJ47" s="6">
        <v>0.0</v>
      </c>
      <c r="BK47" s="6">
        <v>0.0</v>
      </c>
      <c r="BL47" s="6">
        <v>0.0</v>
      </c>
      <c r="BM47" s="6">
        <v>0.0</v>
      </c>
      <c r="BN47" s="6">
        <v>0.0</v>
      </c>
      <c r="BO47" s="6">
        <v>0.0</v>
      </c>
      <c r="BP47" s="6">
        <v>0.0</v>
      </c>
      <c r="BQ47" s="6">
        <v>0.0</v>
      </c>
      <c r="BR47" s="6">
        <v>0.0</v>
      </c>
      <c r="BS47" s="6">
        <v>0.0</v>
      </c>
      <c r="BT47" s="6">
        <v>0.0</v>
      </c>
      <c r="BU47" s="6">
        <v>0.0</v>
      </c>
      <c r="BV47" s="6">
        <v>0.0</v>
      </c>
      <c r="BW47" s="6">
        <v>0.0</v>
      </c>
      <c r="BX47" s="6">
        <v>0.0</v>
      </c>
      <c r="BY47" s="6">
        <v>0.0</v>
      </c>
      <c r="BZ47" s="6">
        <v>0.0</v>
      </c>
    </row>
    <row r="48">
      <c r="A48" s="5" t="s">
        <v>6</v>
      </c>
      <c r="B48" s="6">
        <v>18.0</v>
      </c>
      <c r="C48" s="6">
        <v>18.0</v>
      </c>
      <c r="D48" s="6">
        <v>18.0</v>
      </c>
      <c r="E48" s="6">
        <v>18.0</v>
      </c>
      <c r="F48" s="6">
        <v>18.0</v>
      </c>
      <c r="G48" s="6">
        <v>18.0</v>
      </c>
      <c r="H48" s="6">
        <v>18.0</v>
      </c>
      <c r="I48" s="6">
        <v>18.0</v>
      </c>
      <c r="J48" s="6">
        <v>15.0</v>
      </c>
      <c r="K48" s="6">
        <v>15.0</v>
      </c>
      <c r="L48" s="6">
        <v>15.0</v>
      </c>
      <c r="M48" s="6">
        <v>15.0</v>
      </c>
      <c r="N48" s="6">
        <v>15.0</v>
      </c>
      <c r="O48" s="6">
        <v>15.0</v>
      </c>
      <c r="P48" s="6">
        <v>15.0</v>
      </c>
      <c r="Q48" s="6">
        <v>15.0</v>
      </c>
      <c r="R48" s="6">
        <v>0.0</v>
      </c>
      <c r="S48" s="6">
        <v>15.0</v>
      </c>
      <c r="T48" s="6">
        <v>0.0</v>
      </c>
      <c r="U48" s="6">
        <v>0.0</v>
      </c>
      <c r="V48" s="6">
        <v>15.0</v>
      </c>
      <c r="W48" s="6">
        <v>0.0</v>
      </c>
      <c r="X48" s="6">
        <v>0.0</v>
      </c>
      <c r="Y48" s="6">
        <v>0.0</v>
      </c>
      <c r="Z48" s="6">
        <v>13.0</v>
      </c>
      <c r="AA48" s="6">
        <v>0.0</v>
      </c>
      <c r="AB48" s="6">
        <v>0.0</v>
      </c>
      <c r="AC48" s="6">
        <v>13.0</v>
      </c>
      <c r="AD48" s="6">
        <v>0.0</v>
      </c>
      <c r="AE48" s="6">
        <v>11.0</v>
      </c>
      <c r="AF48" s="6">
        <v>0.0</v>
      </c>
      <c r="AG48" s="6">
        <v>12.0</v>
      </c>
      <c r="AH48" s="6">
        <v>0.0</v>
      </c>
      <c r="AI48" s="6">
        <v>12.0</v>
      </c>
      <c r="AJ48" s="6">
        <v>0.0</v>
      </c>
      <c r="AK48" s="6">
        <v>0.0</v>
      </c>
      <c r="AL48" s="6">
        <v>0.0</v>
      </c>
      <c r="AM48" s="6">
        <v>0.0</v>
      </c>
      <c r="AN48" s="6">
        <v>0.0</v>
      </c>
      <c r="AO48" s="6">
        <v>12.0</v>
      </c>
      <c r="AP48" s="6">
        <v>0.0</v>
      </c>
      <c r="AQ48" s="6">
        <v>0.0</v>
      </c>
      <c r="AR48" s="6">
        <v>0.0</v>
      </c>
      <c r="AS48" s="6">
        <v>0.0</v>
      </c>
      <c r="AT48" s="6">
        <v>12.0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  <c r="BH48" s="6">
        <v>0.0</v>
      </c>
      <c r="BI48" s="6">
        <v>0.0</v>
      </c>
      <c r="BJ48" s="6">
        <v>0.0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0.0</v>
      </c>
      <c r="BS48" s="6">
        <v>0.0</v>
      </c>
      <c r="BT48" s="6">
        <v>0.0</v>
      </c>
      <c r="BU48" s="6">
        <v>0.0</v>
      </c>
      <c r="BV48" s="6">
        <v>0.0</v>
      </c>
      <c r="BW48" s="6">
        <v>0.0</v>
      </c>
      <c r="BX48" s="6">
        <v>0.0</v>
      </c>
      <c r="BY48" s="6">
        <v>0.0</v>
      </c>
      <c r="BZ48" s="6">
        <v>0.0</v>
      </c>
    </row>
    <row r="49">
      <c r="A49" s="5" t="s">
        <v>7</v>
      </c>
      <c r="B49" s="6">
        <v>4.0</v>
      </c>
      <c r="C49" s="6">
        <v>8.0</v>
      </c>
      <c r="D49" s="6">
        <v>4.0</v>
      </c>
      <c r="E49" s="6">
        <v>14.0</v>
      </c>
      <c r="F49" s="6">
        <v>12.0</v>
      </c>
      <c r="G49" s="6">
        <v>14.0</v>
      </c>
      <c r="H49" s="6">
        <v>14.0</v>
      </c>
      <c r="I49" s="6">
        <v>11.0</v>
      </c>
      <c r="J49" s="6">
        <v>4.0</v>
      </c>
      <c r="K49" s="6">
        <v>3.0</v>
      </c>
      <c r="L49" s="6">
        <v>2.0</v>
      </c>
      <c r="M49" s="6">
        <v>7.0</v>
      </c>
      <c r="N49" s="6">
        <v>6.0</v>
      </c>
      <c r="O49" s="6">
        <v>6.0</v>
      </c>
      <c r="P49" s="6">
        <v>6.0</v>
      </c>
      <c r="Q49" s="6">
        <v>10.0</v>
      </c>
      <c r="R49" s="6">
        <v>0.0</v>
      </c>
      <c r="S49" s="6">
        <v>11.0</v>
      </c>
      <c r="T49" s="6">
        <v>0.0</v>
      </c>
      <c r="U49" s="6">
        <v>0.0</v>
      </c>
      <c r="V49" s="6">
        <v>13.0</v>
      </c>
      <c r="W49" s="6">
        <v>0.0</v>
      </c>
      <c r="X49" s="6">
        <v>0.0</v>
      </c>
      <c r="Y49" s="6">
        <v>0.0</v>
      </c>
      <c r="Z49" s="6">
        <v>9.0</v>
      </c>
      <c r="AA49" s="6">
        <v>0.0</v>
      </c>
      <c r="AB49" s="6">
        <v>0.0</v>
      </c>
      <c r="AC49" s="6">
        <v>9.0</v>
      </c>
      <c r="AD49" s="6">
        <v>0.0</v>
      </c>
      <c r="AE49" s="6">
        <v>7.0</v>
      </c>
      <c r="AF49" s="6">
        <v>0.0</v>
      </c>
      <c r="AG49" s="6">
        <v>8.0</v>
      </c>
      <c r="AH49" s="6">
        <v>0.0</v>
      </c>
      <c r="AI49" s="6">
        <v>8.0</v>
      </c>
      <c r="AJ49" s="6">
        <v>0.0</v>
      </c>
      <c r="AK49" s="6">
        <v>0.0</v>
      </c>
      <c r="AL49" s="6">
        <v>0.0</v>
      </c>
      <c r="AM49" s="6">
        <v>0.0</v>
      </c>
      <c r="AN49" s="6">
        <v>0.0</v>
      </c>
      <c r="AO49" s="6">
        <v>5.0</v>
      </c>
      <c r="AP49" s="6">
        <v>0.0</v>
      </c>
      <c r="AQ49" s="6">
        <v>0.0</v>
      </c>
      <c r="AR49" s="6">
        <v>0.0</v>
      </c>
      <c r="AS49" s="6">
        <v>0.0</v>
      </c>
      <c r="AT49" s="6">
        <v>5.0</v>
      </c>
      <c r="AU49" s="6">
        <v>0.0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0.0</v>
      </c>
      <c r="BB49" s="6">
        <v>0.0</v>
      </c>
      <c r="BC49" s="6">
        <v>0.0</v>
      </c>
      <c r="BD49" s="6">
        <v>0.0</v>
      </c>
      <c r="BE49" s="6">
        <v>0.0</v>
      </c>
      <c r="BF49" s="6">
        <v>0.0</v>
      </c>
      <c r="BG49" s="6">
        <v>0.0</v>
      </c>
      <c r="BH49" s="6">
        <v>0.0</v>
      </c>
      <c r="BI49" s="6">
        <v>0.0</v>
      </c>
      <c r="BJ49" s="6">
        <v>0.0</v>
      </c>
      <c r="BK49" s="6">
        <v>0.0</v>
      </c>
      <c r="BL49" s="6">
        <v>0.0</v>
      </c>
      <c r="BM49" s="6">
        <v>0.0</v>
      </c>
      <c r="BN49" s="6">
        <v>0.0</v>
      </c>
      <c r="BO49" s="6">
        <v>0.0</v>
      </c>
      <c r="BP49" s="6">
        <v>0.0</v>
      </c>
      <c r="BQ49" s="6">
        <v>0.0</v>
      </c>
      <c r="BR49" s="6">
        <v>0.0</v>
      </c>
      <c r="BS49" s="6">
        <v>0.0</v>
      </c>
      <c r="BT49" s="6">
        <v>0.0</v>
      </c>
      <c r="BU49" s="6">
        <v>0.0</v>
      </c>
      <c r="BV49" s="6">
        <v>0.0</v>
      </c>
      <c r="BW49" s="6">
        <v>0.0</v>
      </c>
      <c r="BX49" s="6">
        <v>0.0</v>
      </c>
      <c r="BY49" s="6">
        <v>0.0</v>
      </c>
      <c r="BZ49" s="6">
        <v>0.0</v>
      </c>
    </row>
    <row r="50">
      <c r="A50" s="7" t="s">
        <v>8</v>
      </c>
      <c r="B50" s="8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</sheetData>
  <hyperlinks>
    <hyperlink r:id="rId1" ref="B50"/>
  </hyperlinks>
  <drawing r:id="rId2"/>
</worksheet>
</file>