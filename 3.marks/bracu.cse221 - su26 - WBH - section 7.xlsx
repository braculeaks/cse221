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5"/>
    <sheet state="visible" name="Attendance" sheetId="2" r:id="rId6"/>
  </sheets>
  <definedNames/>
  <calcPr/>
</workbook>
</file>

<file path=xl/sharedStrings.xml><?xml version="1.0" encoding="utf-8"?>
<sst xmlns="http://schemas.openxmlformats.org/spreadsheetml/2006/main" count="168" uniqueCount="106">
  <si>
    <t>BRAC University</t>
  </si>
  <si>
    <t>Advising Section Confirmation Status</t>
  </si>
  <si>
    <t>Session:SUMMER 2026</t>
  </si>
  <si>
    <t>Academic Degree Undergraduate</t>
  </si>
  <si>
    <t>Course: CSE221 - 09</t>
  </si>
  <si>
    <t>connect</t>
  </si>
  <si>
    <t>Quiz 2</t>
  </si>
  <si>
    <t>Student Id</t>
  </si>
  <si>
    <t>Name</t>
  </si>
  <si>
    <t>Program</t>
  </si>
  <si>
    <t>Email</t>
  </si>
  <si>
    <t>Phone</t>
  </si>
  <si>
    <t>Rasheed Kabir Darpan</t>
  </si>
  <si>
    <t>CSE</t>
  </si>
  <si>
    <t>rasheed.kabir.darpan@g.bracu.ac.bd</t>
  </si>
  <si>
    <t>Midterm</t>
  </si>
  <si>
    <t>Final exam</t>
  </si>
  <si>
    <t>Anika Islam Neha</t>
  </si>
  <si>
    <t>anika.islam.neha@g.bracu.ac.bd</t>
  </si>
  <si>
    <t>Md. Abu Naif Siam</t>
  </si>
  <si>
    <t>abu.naif.siam@g.bracu.ac.bd</t>
  </si>
  <si>
    <t>Quiz1(15)</t>
  </si>
  <si>
    <t>Quiz2(15)</t>
  </si>
  <si>
    <t>Quiz3(20)</t>
  </si>
  <si>
    <t>Quiz total(20)</t>
  </si>
  <si>
    <t>Tahir Kawser Provat</t>
  </si>
  <si>
    <t>tahir.kawser.provat@g.bracu.ac.bd</t>
  </si>
  <si>
    <t>Assignment 1(60)</t>
  </si>
  <si>
    <t>Assignment 2(30)</t>
  </si>
  <si>
    <t>Assignment 3(50)</t>
  </si>
  <si>
    <t>Total Assignment()</t>
  </si>
  <si>
    <t>Q1(6)</t>
  </si>
  <si>
    <t>Q2(6)</t>
  </si>
  <si>
    <t>Nafis Abrar Labib</t>
  </si>
  <si>
    <t>Q3(7)</t>
  </si>
  <si>
    <t>Q4(6)</t>
  </si>
  <si>
    <t>labib@g.bracu.ac.bd</t>
  </si>
  <si>
    <t>Midterm(25)</t>
  </si>
  <si>
    <t>Midterm(20)</t>
  </si>
  <si>
    <t>Lab(25)</t>
  </si>
  <si>
    <t>Total(70)</t>
  </si>
  <si>
    <t>Q1(8)</t>
  </si>
  <si>
    <t>Q2(10)</t>
  </si>
  <si>
    <t>Q3(12)</t>
  </si>
  <si>
    <t>Q4(10)</t>
  </si>
  <si>
    <t>Final Exam(40)</t>
  </si>
  <si>
    <t>Final Exam(30)</t>
  </si>
  <si>
    <t>Akif Ul Islam</t>
  </si>
  <si>
    <t>Total(100)</t>
  </si>
  <si>
    <t>akif.ul.islam@g.bracu.ac.bd</t>
  </si>
  <si>
    <t>Total Rounded(100)</t>
  </si>
  <si>
    <t>3a</t>
  </si>
  <si>
    <t>3b</t>
  </si>
  <si>
    <t>4a</t>
  </si>
  <si>
    <t>4b</t>
  </si>
  <si>
    <t>Iftekher Ahmed</t>
  </si>
  <si>
    <t>iftekher.ahmed@g.bracu.ac.bd</t>
  </si>
  <si>
    <t>Md. Irfan Hossain</t>
  </si>
  <si>
    <t>md.irfan.hossain2@g.bracu.ac.bd</t>
  </si>
  <si>
    <t>Tahsin Ahmed Chowdhury</t>
  </si>
  <si>
    <t>tahsin.ahmed.chowdhury1@g.bracu.ac.bd</t>
  </si>
  <si>
    <t>Mst. Zubaida Haque Jetu</t>
  </si>
  <si>
    <t>zubaida.haque.jetu@g.bracu.ac.bd</t>
  </si>
  <si>
    <t>Safayat Anzum Rahat</t>
  </si>
  <si>
    <t>safayat.anzum.rahat@g.bracu.ac.bd</t>
  </si>
  <si>
    <t>Neherin Nadia Rahim</t>
  </si>
  <si>
    <t>CS</t>
  </si>
  <si>
    <t>neherin.nadia.rahim@g.bracu.ac.bd</t>
  </si>
  <si>
    <t>S M Raihan Khaled</t>
  </si>
  <si>
    <t>sm.raihan.khaled@g.bracu.ac.bd</t>
  </si>
  <si>
    <t>Nafesa Tanzem Mrettika</t>
  </si>
  <si>
    <t>nafesa.tanzem.mrettika@g.bracu.ac.bd</t>
  </si>
  <si>
    <t>Ahamed Abdus Sayem</t>
  </si>
  <si>
    <t>ahamed.abdus.sayem@g.bracu.ac.bd</t>
  </si>
  <si>
    <t>Sadaf Abduallaha</t>
  </si>
  <si>
    <t>sadaf.abduallaha@g.bracu.ac.bd</t>
  </si>
  <si>
    <t>Avibadhan Das Arno</t>
  </si>
  <si>
    <t>avibadhan.das.arno@g.bracu.ac.bd</t>
  </si>
  <si>
    <t>Saif Mahmud Hasib</t>
  </si>
  <si>
    <t>saif.mahmud.hasib@g.bracu.ac.bd</t>
  </si>
  <si>
    <t>Sidratul Muntaha Khan</t>
  </si>
  <si>
    <t>sidratul.muntaha.khan1@g.bracu.ac.bd</t>
  </si>
  <si>
    <t>Md. Mahir Faisal</t>
  </si>
  <si>
    <t>md.mahir.faisal2@g.bracu.ac.bd</t>
  </si>
  <si>
    <t>Debjyoti Paul</t>
  </si>
  <si>
    <t>debjyoti.paul@g.bracu.ac.bd</t>
  </si>
  <si>
    <t>Md. Abrar Mahib Pritom</t>
  </si>
  <si>
    <t>abrar.mahib.pritom@g.bracu.ac.bd</t>
  </si>
  <si>
    <t>Md Talha Bin Forhad</t>
  </si>
  <si>
    <t>talha.bin.forhad@g.bracu.ac.bd</t>
  </si>
  <si>
    <t>Mahtin Sayed Rupok</t>
  </si>
  <si>
    <t>mahtin.sayed.rupok@g.bracu.ac.bd</t>
  </si>
  <si>
    <t>Jerin Adiba Aanchol</t>
  </si>
  <si>
    <t>jerin.adiba.aanchol@g.bracu.ac.bd</t>
  </si>
  <si>
    <t>Monalisa Jahan Shova</t>
  </si>
  <si>
    <t>monalisa.jahan.shova@g.bracu.ac.bd</t>
  </si>
  <si>
    <t>Mohammad Asadul Islam</t>
  </si>
  <si>
    <t>mohammad.asadul.islam1@g.bracu.ac.bd</t>
  </si>
  <si>
    <t>Azwad Tawsif Riasat</t>
  </si>
  <si>
    <t>azwad.tawsif.riasat@g.bracu.ac.bd</t>
  </si>
  <si>
    <t>Muhammad Sadat Masud Sami</t>
  </si>
  <si>
    <t>sadat.masud.sami@g.bracu.ac.bd</t>
  </si>
  <si>
    <t>Redwanul Muktadir</t>
  </si>
  <si>
    <t>redwanul.muktadir@g.bracu.ac.bd</t>
  </si>
  <si>
    <t>Aninda Mandal Pranto</t>
  </si>
  <si>
    <t>aninda.mandal.pranto@g.bracu.ac.bd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</si>
</sst>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d mmm"/>
  </numFmts>
  <fonts count="11">
    <font>
      <sz val="10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</font>
    <font>
      <b/>
      <sz val="11.0"/>
      <color theme="1"/>
      <name val="Calibri"/>
    </font>
    <font>
      <b/>
      <color theme="1"/>
      <name val="Arial"/>
    </font>
    <font>
      <b/>
      <sz val="12.0"/>
      <color theme="1"/>
      <name val="Arial"/>
    </font>
    <font>
      <b/>
      <color theme="1"/>
      <name val="Arial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ill="1" applyFont="1">
      <alignment horizontal="center" shrinkToFit="0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readingOrder="0" shrinkToFit="0" wrapText="0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horizontal="center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readingOrder="0"/>
    </xf>
    <xf borderId="1" fillId="2" fontId="5" numFmtId="0" xfId="0" applyAlignment="1" applyBorder="1" applyFill="1" applyFont="1">
      <alignment horizontal="center" readingOrder="0" shrinkToFit="0" vertical="bottom" wrapText="0"/>
    </xf>
    <xf borderId="0" fillId="2" fontId="3" numFmtId="0" xfId="0" applyFill="1" applyFont="1"/>
    <xf borderId="0" fillId="0" fontId="3" numFmtId="0" xfId="0" applyAlignment="1" applyFont="1">
      <alignment horizontal="center" vertical="bottom"/>
    </xf>
    <xf borderId="0" fillId="3" fontId="6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shrinkToFit="0" vertical="bottom" wrapText="1"/>
    </xf>
    <xf borderId="0" fillId="4" fontId="4" numFmtId="0" xfId="0" applyAlignment="1" applyFill="1" applyFont="1">
      <alignment horizontal="center" shrinkToFit="0" wrapText="1"/>
    </xf>
    <xf borderId="1" fillId="2" fontId="5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readingOrder="0"/>
    </xf>
    <xf borderId="1" fillId="5" fontId="3" numFmtId="0" xfId="0" applyAlignment="1" applyBorder="1" applyFill="1" applyFont="1">
      <alignment horizontal="center" readingOrder="0" vertical="bottom"/>
    </xf>
    <xf borderId="2" fillId="6" fontId="7" numFmtId="0" xfId="0" applyAlignment="1" applyBorder="1" applyFill="1" applyFont="1">
      <alignment horizontal="center" textRotation="0"/>
    </xf>
    <xf borderId="1" fillId="2" fontId="8" numFmtId="0" xfId="0" applyBorder="1" applyFill="1" applyFont="1"/>
    <xf borderId="1" fillId="2" fontId="8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7" fontId="6" numFmtId="0" xfId="0" applyAlignment="1" applyBorder="1" applyFill="1" applyFont="1">
      <alignment horizontal="center" vertical="center"/>
    </xf>
    <xf borderId="1" fillId="5" fontId="9" numFmtId="0" xfId="0" applyAlignment="1" applyBorder="1" applyFill="1" applyFont="1">
      <alignment horizontal="center" readingOrder="0" vertical="center"/>
    </xf>
    <xf borderId="1" fillId="4" fontId="9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wrapText="0"/>
    </xf>
    <xf borderId="0" fillId="0" fontId="4" numFmtId="165" xfId="0" applyAlignment="1" applyFont="1" applyNumberFormat="1">
      <alignment readingOrder="0"/>
    </xf>
    <xf borderId="1" fillId="5" fontId="3" numFmtId="0" xfId="0" applyAlignment="1" applyBorder="1" applyFill="1" applyFont="1">
      <alignment horizontal="center" vertical="bottom"/>
    </xf>
    <xf borderId="1" fillId="7" fontId="3" numFmtId="0" xfId="0" applyAlignment="1" applyBorder="1" applyFill="1" applyFont="1">
      <alignment horizontal="center" readingOrder="0" vertical="bottom"/>
    </xf>
    <xf borderId="0" fillId="0" fontId="10" numFmtId="0" xfId="0" applyAlignment="1" applyFont="1">
      <alignment horizontal="center" shrinkToFit="0" vertical="bottom" wrapText="0"/>
    </xf>
    <xf borderId="1" fillId="7" fontId="3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 readingOrder="0" shrinkToFit="0" wrapText="1"/>
    </xf>
    <xf borderId="1" fillId="4" fontId="4" numFmtId="0" xfId="0" applyAlignment="1" applyBorder="1" applyFill="1" applyFont="1">
      <alignment horizontal="center" shrinkToFit="0" wrapText="1"/>
    </xf>
    <xf borderId="1" fillId="8" fontId="5" numFmtId="0" xfId="0" applyAlignment="1" applyBorder="1" applyFill="1" applyFont="1">
      <alignment horizontal="center" readingOrder="0" shrinkToFit="0" vertical="bottom" wrapText="0"/>
    </xf>
    <xf borderId="1" fillId="8" fontId="3" numFmtId="0" xfId="0" applyAlignment="1" applyBorder="1" applyFill="1" applyFont="1">
      <alignment horizontal="center" readingOrder="0" vertical="bottom"/>
    </xf>
    <xf borderId="1" fillId="8" fontId="3" numFmtId="0" xfId="0" applyAlignment="1" applyBorder="1" applyFill="1" applyFont="1">
      <alignment horizontal="center" vertical="bottom"/>
    </xf>
    <xf borderId="1" fillId="8" fontId="4" numFmtId="0" xfId="0" applyAlignment="1" applyBorder="1" applyFill="1" applyFont="1">
      <alignment horizontal="center" readingOrder="0"/>
    </xf>
    <xf borderId="1" fillId="8" fontId="4" numFmtId="0" xfId="0" applyAlignment="1" applyBorder="1" applyFill="1" applyFont="1">
      <alignment horizontal="center"/>
    </xf>
    <xf borderId="1" fillId="8" fontId="4" numFmtId="0" xfId="0" applyAlignment="1" applyBorder="1" applyFill="1" applyFont="1">
      <alignment horizontal="center" shrinkToFit="0" wrapText="1"/>
    </xf>
    <xf borderId="0" fillId="8" fontId="4" numFmtId="0" xfId="0" applyFill="1" applyFont="1"/>
    <xf borderId="0" fillId="2" fontId="2" numFmtId="49" xfId="0" applyAlignment="1" applyFill="1" applyFont="1" applyNumberFormat="1">
      <alignment horizontal="center" vertical="bottom"/>
    </xf>
    <xf borderId="0" fillId="2" fontId="2" numFmtId="49" xfId="0" applyAlignment="1" applyFill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1">
    <tableStyle count="2" pivot="0" name="Mark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A2:AD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Mar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1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>
      <c r="A2" s="12"/>
      <c r="B2" s="12"/>
      <c r="C2" s="13"/>
      <c r="D2" s="13"/>
      <c r="E2" s="13"/>
      <c r="F2" s="13"/>
      <c r="G2" s="13"/>
      <c r="H2" s="13"/>
      <c r="I2" s="13"/>
      <c r="J2" s="13"/>
      <c r="K2" s="14" t="s">
        <v>15</v>
      </c>
      <c r="Q2" s="7"/>
      <c r="R2" s="7"/>
      <c r="S2" s="15" t="s">
        <v>16</v>
      </c>
      <c r="Y2" s="15"/>
      <c r="Z2" s="16"/>
      <c r="AA2" s="20">
        <v>4.0</v>
      </c>
      <c r="AB2" s="20">
        <v>3.0</v>
      </c>
      <c r="AC2" s="20">
        <v>2.0</v>
      </c>
      <c r="AD2" s="20">
        <v>4.0</v>
      </c>
    </row>
    <row r="3">
      <c r="A3" s="21" t="s">
        <v>7</v>
      </c>
      <c r="B3" s="22" t="s">
        <v>8</v>
      </c>
      <c r="C3" s="23" t="s">
        <v>21</v>
      </c>
      <c r="D3" s="23" t="s">
        <v>22</v>
      </c>
      <c r="E3" s="23" t="s">
        <v>23</v>
      </c>
      <c r="F3" s="24" t="s">
        <v>24</v>
      </c>
      <c r="G3" s="24" t="s">
        <v>27</v>
      </c>
      <c r="H3" s="24" t="s">
        <v>28</v>
      </c>
      <c r="I3" s="24" t="s">
        <v>29</v>
      </c>
      <c r="J3" s="25" t="s">
        <v>30</v>
      </c>
      <c r="K3" s="26" t="s">
        <v>31</v>
      </c>
      <c r="L3" s="26" t="s">
        <v>32</v>
      </c>
      <c r="M3" s="26" t="s">
        <v>34</v>
      </c>
      <c r="N3" s="26" t="s">
        <v>35</v>
      </c>
      <c r="O3" s="26" t="s">
        <v>37</v>
      </c>
      <c r="P3" s="26" t="s">
        <v>38</v>
      </c>
      <c r="Q3" s="27" t="s">
        <v>39</v>
      </c>
      <c r="R3" s="28" t="s">
        <v>40</v>
      </c>
      <c r="S3" s="29" t="s">
        <v>41</v>
      </c>
      <c r="T3" s="29" t="s">
        <v>42</v>
      </c>
      <c r="U3" s="29" t="s">
        <v>43</v>
      </c>
      <c r="V3" s="29" t="s">
        <v>44</v>
      </c>
      <c r="W3" s="30" t="s">
        <v>45</v>
      </c>
      <c r="X3" s="30" t="s">
        <v>46</v>
      </c>
      <c r="Y3" s="29" t="s">
        <v>48</v>
      </c>
      <c r="Z3" s="31" t="s">
        <v>50</v>
      </c>
      <c r="AA3" s="18" t="s">
        <v>51</v>
      </c>
      <c r="AB3" s="18" t="s">
        <v>52</v>
      </c>
      <c r="AC3" s="18" t="s">
        <v>53</v>
      </c>
      <c r="AD3" s="18" t="s">
        <v>54</v>
      </c>
      <c r="AE3" s="18"/>
    </row>
    <row r="4">
      <c r="A4" s="11">
        <v>1.000054024E9</v>
      </c>
      <c r="B4" s="11" t="s">
        <v>12</v>
      </c>
      <c r="C4" s="19">
        <v>13.0</v>
      </c>
      <c r="D4" s="19">
        <v>7.0</v>
      </c>
      <c r="E4" s="19">
        <v>0.0</v>
      </c>
      <c r="F4" s="19">
        <f t="shared" ref="F4:F34" si="1"> AVERAGE(LARGE({C4/15*20, D4/15*20, E4}, 1), LARGE({C4/15*20, D4/15*20, E4}, 2))</f>
        <v>13.33333333</v>
      </c>
      <c r="G4" s="19">
        <v>60.0</v>
      </c>
      <c r="H4" s="19">
        <v>22.0</v>
      </c>
      <c r="I4" s="19">
        <v>50.0</v>
      </c>
      <c r="J4" s="34">
        <f t="shared" ref="J4:J34" si="2">ROUND(AVERAGE(G4/60*5, H4/30*5, I4/50*5),2)</f>
        <v>4.56</v>
      </c>
      <c r="K4" s="35">
        <v>2.0</v>
      </c>
      <c r="L4" s="35">
        <v>0.0</v>
      </c>
      <c r="M4" s="35">
        <v>0.0</v>
      </c>
      <c r="N4" s="35">
        <v>1.0</v>
      </c>
      <c r="O4" s="37">
        <f t="shared" ref="O4:O34" si="3">SUM(K4:N4)</f>
        <v>3</v>
      </c>
      <c r="P4" s="37">
        <f t="shared" ref="P4:P34" si="4">O4*(20/25)</f>
        <v>2.4</v>
      </c>
      <c r="Q4" s="38">
        <v>6.324074074</v>
      </c>
      <c r="R4" s="39">
        <f t="shared" ref="R4:R34" si="5">ROUND(SUM(F4,J4,P4,Q4),2)</f>
        <v>26.62</v>
      </c>
      <c r="S4" s="40">
        <v>0.0</v>
      </c>
      <c r="T4" s="40">
        <v>0.0</v>
      </c>
      <c r="U4" s="40">
        <v>0.0</v>
      </c>
      <c r="V4" s="40">
        <v>1.0</v>
      </c>
      <c r="W4" s="41">
        <f t="shared" ref="W4:W34" si="6">SUM(S4:V4)</f>
        <v>1</v>
      </c>
      <c r="X4" s="41">
        <f t="shared" ref="X4:X34" si="7">W4*0.75</f>
        <v>0.75</v>
      </c>
      <c r="Y4" s="41">
        <f t="shared" ref="Y4:Y34" si="8">SUM(R4+X4)</f>
        <v>27.37</v>
      </c>
      <c r="Z4" s="41">
        <f t="shared" ref="Z4:Z34" si="9">ROUND(Y4,0)</f>
        <v>27</v>
      </c>
      <c r="AA4" s="18">
        <v>0.0</v>
      </c>
      <c r="AB4" s="18">
        <v>0.0</v>
      </c>
      <c r="AC4" s="18">
        <v>0.0</v>
      </c>
      <c r="AD4" s="18">
        <v>1.0</v>
      </c>
    </row>
    <row r="5">
      <c r="A5" s="11">
        <v>1.000054032E9</v>
      </c>
      <c r="B5" s="11" t="s">
        <v>17</v>
      </c>
      <c r="C5" s="19">
        <v>14.0</v>
      </c>
      <c r="D5" s="19">
        <v>15.0</v>
      </c>
      <c r="E5" s="19">
        <v>12.0</v>
      </c>
      <c r="F5" s="19">
        <f t="shared" si="1"/>
        <v>19.33333333</v>
      </c>
      <c r="G5" s="19">
        <v>60.0</v>
      </c>
      <c r="H5" s="19">
        <v>30.0</v>
      </c>
      <c r="I5" s="19">
        <v>50.0</v>
      </c>
      <c r="J5" s="34">
        <f t="shared" si="2"/>
        <v>5</v>
      </c>
      <c r="K5" s="35">
        <v>6.0</v>
      </c>
      <c r="L5" s="35">
        <v>6.0</v>
      </c>
      <c r="M5" s="35">
        <v>7.0</v>
      </c>
      <c r="N5" s="35">
        <v>3.5</v>
      </c>
      <c r="O5" s="37">
        <f t="shared" si="3"/>
        <v>22.5</v>
      </c>
      <c r="P5" s="37">
        <f t="shared" si="4"/>
        <v>18</v>
      </c>
      <c r="Q5" s="38">
        <v>24.0</v>
      </c>
      <c r="R5" s="39">
        <f t="shared" si="5"/>
        <v>66.33</v>
      </c>
      <c r="S5" s="40">
        <v>6.0</v>
      </c>
      <c r="T5" s="40">
        <v>8.0</v>
      </c>
      <c r="U5" s="40">
        <v>11.0</v>
      </c>
      <c r="V5" s="40">
        <v>2.0</v>
      </c>
      <c r="W5" s="41">
        <f t="shared" si="6"/>
        <v>27</v>
      </c>
      <c r="X5" s="41">
        <f t="shared" si="7"/>
        <v>20.25</v>
      </c>
      <c r="Y5" s="41">
        <f t="shared" si="8"/>
        <v>86.58</v>
      </c>
      <c r="Z5" s="41">
        <f t="shared" si="9"/>
        <v>87</v>
      </c>
      <c r="AA5" s="18">
        <v>4.0</v>
      </c>
      <c r="AB5" s="18">
        <v>3.0</v>
      </c>
      <c r="AC5" s="18">
        <v>2.0</v>
      </c>
      <c r="AD5" s="18">
        <v>1.5</v>
      </c>
    </row>
    <row r="6">
      <c r="A6" s="11">
        <v>1.000054079E9</v>
      </c>
      <c r="B6" s="11" t="s">
        <v>19</v>
      </c>
      <c r="C6" s="19">
        <v>9.0</v>
      </c>
      <c r="D6" s="19">
        <v>6.0</v>
      </c>
      <c r="E6" s="19">
        <v>5.0</v>
      </c>
      <c r="F6" s="19">
        <f t="shared" si="1"/>
        <v>10</v>
      </c>
      <c r="G6" s="19">
        <v>60.0</v>
      </c>
      <c r="H6" s="19">
        <v>30.0</v>
      </c>
      <c r="I6" s="19">
        <v>0.0</v>
      </c>
      <c r="J6" s="34">
        <f t="shared" si="2"/>
        <v>3.33</v>
      </c>
      <c r="K6" s="35">
        <v>4.0</v>
      </c>
      <c r="L6" s="35">
        <v>0.0</v>
      </c>
      <c r="M6" s="35">
        <v>3.0</v>
      </c>
      <c r="N6" s="35">
        <v>5.0</v>
      </c>
      <c r="O6" s="37">
        <f t="shared" si="3"/>
        <v>12</v>
      </c>
      <c r="P6" s="37">
        <f t="shared" si="4"/>
        <v>9.6</v>
      </c>
      <c r="Q6" s="38">
        <v>10.10185185</v>
      </c>
      <c r="R6" s="39">
        <f t="shared" si="5"/>
        <v>33.03</v>
      </c>
      <c r="S6" s="40">
        <v>1.5</v>
      </c>
      <c r="T6" s="40">
        <v>0.0</v>
      </c>
      <c r="U6" s="40">
        <v>0.0</v>
      </c>
      <c r="V6" s="40">
        <v>0.0</v>
      </c>
      <c r="W6" s="41">
        <f t="shared" si="6"/>
        <v>1.5</v>
      </c>
      <c r="X6" s="41">
        <f t="shared" si="7"/>
        <v>1.125</v>
      </c>
      <c r="Y6" s="41">
        <f t="shared" si="8"/>
        <v>34.155</v>
      </c>
      <c r="Z6" s="41">
        <f t="shared" si="9"/>
        <v>34</v>
      </c>
      <c r="AA6" s="18">
        <v>1.5</v>
      </c>
      <c r="AB6" s="18">
        <v>1.5</v>
      </c>
      <c r="AC6" s="18">
        <v>2.0</v>
      </c>
      <c r="AD6" s="18">
        <v>3.0</v>
      </c>
    </row>
    <row r="7">
      <c r="A7" s="11">
        <v>1.000054339E9</v>
      </c>
      <c r="B7" s="11" t="s">
        <v>25</v>
      </c>
      <c r="C7" s="19">
        <v>12.0</v>
      </c>
      <c r="D7" s="19">
        <v>9.0</v>
      </c>
      <c r="E7" s="19">
        <v>13.0</v>
      </c>
      <c r="F7" s="19">
        <f t="shared" si="1"/>
        <v>14.5</v>
      </c>
      <c r="G7" s="19">
        <v>0.0</v>
      </c>
      <c r="H7" s="19">
        <v>20.0</v>
      </c>
      <c r="I7" s="19">
        <v>0.0</v>
      </c>
      <c r="J7" s="34">
        <f t="shared" si="2"/>
        <v>1.11</v>
      </c>
      <c r="K7" s="35">
        <v>0.0</v>
      </c>
      <c r="L7" s="35">
        <v>4.0</v>
      </c>
      <c r="M7" s="35">
        <v>7.0</v>
      </c>
      <c r="N7" s="35">
        <v>5.0</v>
      </c>
      <c r="O7" s="37">
        <f t="shared" si="3"/>
        <v>16</v>
      </c>
      <c r="P7" s="37">
        <f t="shared" si="4"/>
        <v>12.8</v>
      </c>
      <c r="Q7" s="38">
        <v>11.94444444</v>
      </c>
      <c r="R7" s="39">
        <f t="shared" si="5"/>
        <v>40.35</v>
      </c>
      <c r="S7" s="40">
        <v>3.0</v>
      </c>
      <c r="T7" s="40">
        <v>1.5</v>
      </c>
      <c r="U7" s="40">
        <v>11.0</v>
      </c>
      <c r="V7" s="40">
        <v>3.5</v>
      </c>
      <c r="W7" s="41">
        <f t="shared" si="6"/>
        <v>19</v>
      </c>
      <c r="X7" s="41">
        <f t="shared" si="7"/>
        <v>14.25</v>
      </c>
      <c r="Y7" s="41">
        <f t="shared" si="8"/>
        <v>54.6</v>
      </c>
      <c r="Z7" s="41">
        <f t="shared" si="9"/>
        <v>55</v>
      </c>
      <c r="AA7" s="18">
        <v>4.0</v>
      </c>
      <c r="AB7" s="18">
        <v>3.0</v>
      </c>
      <c r="AC7" s="18">
        <v>2.0</v>
      </c>
      <c r="AD7" s="18">
        <v>4.0</v>
      </c>
    </row>
    <row r="8">
      <c r="A8" s="11">
        <v>1.000054764E9</v>
      </c>
      <c r="B8" s="11" t="s">
        <v>33</v>
      </c>
      <c r="C8" s="19">
        <v>13.0</v>
      </c>
      <c r="D8" s="19">
        <v>15.0</v>
      </c>
      <c r="E8" s="19">
        <v>5.0</v>
      </c>
      <c r="F8" s="19">
        <f t="shared" si="1"/>
        <v>18.66666667</v>
      </c>
      <c r="G8" s="19">
        <v>60.0</v>
      </c>
      <c r="H8" s="19">
        <v>30.0</v>
      </c>
      <c r="I8" s="19">
        <v>50.0</v>
      </c>
      <c r="J8" s="34">
        <f t="shared" si="2"/>
        <v>5</v>
      </c>
      <c r="K8" s="35">
        <v>6.0</v>
      </c>
      <c r="L8" s="35">
        <v>6.0</v>
      </c>
      <c r="M8" s="35">
        <v>2.5</v>
      </c>
      <c r="N8" s="35">
        <v>3.0</v>
      </c>
      <c r="O8" s="37">
        <f t="shared" si="3"/>
        <v>17.5</v>
      </c>
      <c r="P8" s="37">
        <f t="shared" si="4"/>
        <v>14</v>
      </c>
      <c r="Q8" s="38">
        <v>8.564814815</v>
      </c>
      <c r="R8" s="39">
        <f t="shared" si="5"/>
        <v>46.23</v>
      </c>
      <c r="S8" s="40">
        <v>6.25</v>
      </c>
      <c r="T8" s="40">
        <v>6.5</v>
      </c>
      <c r="U8" s="40">
        <v>12.0</v>
      </c>
      <c r="V8" s="40">
        <v>3.0</v>
      </c>
      <c r="W8" s="41">
        <f t="shared" si="6"/>
        <v>27.75</v>
      </c>
      <c r="X8" s="41">
        <f t="shared" si="7"/>
        <v>20.8125</v>
      </c>
      <c r="Y8" s="41">
        <f t="shared" si="8"/>
        <v>67.0425</v>
      </c>
      <c r="Z8" s="41">
        <f t="shared" si="9"/>
        <v>67</v>
      </c>
      <c r="AA8" s="18">
        <v>2.5</v>
      </c>
      <c r="AB8" s="18">
        <v>0.0</v>
      </c>
      <c r="AC8" s="18">
        <v>2.0</v>
      </c>
      <c r="AD8" s="18">
        <v>1.0</v>
      </c>
    </row>
    <row r="9">
      <c r="A9" s="11">
        <v>1.000054805E9</v>
      </c>
      <c r="B9" s="11" t="s">
        <v>47</v>
      </c>
      <c r="C9" s="19">
        <v>15.0</v>
      </c>
      <c r="D9" s="19">
        <v>15.0</v>
      </c>
      <c r="E9" s="19">
        <v>0.0</v>
      </c>
      <c r="F9" s="19">
        <f t="shared" si="1"/>
        <v>20</v>
      </c>
      <c r="G9" s="19">
        <v>60.0</v>
      </c>
      <c r="H9" s="19">
        <v>30.0</v>
      </c>
      <c r="I9" s="19">
        <v>50.0</v>
      </c>
      <c r="J9" s="34">
        <f t="shared" si="2"/>
        <v>5</v>
      </c>
      <c r="K9" s="35">
        <v>6.0</v>
      </c>
      <c r="L9" s="35">
        <v>0.0</v>
      </c>
      <c r="M9" s="35">
        <v>5.0</v>
      </c>
      <c r="N9" s="35">
        <v>6.0</v>
      </c>
      <c r="O9" s="37">
        <f t="shared" si="3"/>
        <v>17</v>
      </c>
      <c r="P9" s="37">
        <f t="shared" si="4"/>
        <v>13.6</v>
      </c>
      <c r="Q9" s="38">
        <v>8.5</v>
      </c>
      <c r="R9" s="39">
        <f t="shared" si="5"/>
        <v>47.1</v>
      </c>
      <c r="S9" s="40">
        <v>7.5</v>
      </c>
      <c r="T9" s="40">
        <v>8.0</v>
      </c>
      <c r="U9" s="40">
        <v>12.0</v>
      </c>
      <c r="V9" s="40">
        <v>2.5</v>
      </c>
      <c r="W9" s="41">
        <f t="shared" si="6"/>
        <v>30</v>
      </c>
      <c r="X9" s="41">
        <f t="shared" si="7"/>
        <v>22.5</v>
      </c>
      <c r="Y9" s="41">
        <f t="shared" si="8"/>
        <v>69.6</v>
      </c>
      <c r="Z9" s="41">
        <f t="shared" si="9"/>
        <v>70</v>
      </c>
      <c r="AA9" s="18">
        <v>4.0</v>
      </c>
      <c r="AB9" s="18">
        <v>1.0</v>
      </c>
      <c r="AC9" s="18">
        <v>2.0</v>
      </c>
      <c r="AD9" s="18">
        <v>4.0</v>
      </c>
    </row>
    <row r="10">
      <c r="A10" s="11">
        <v>1.000054826E9</v>
      </c>
      <c r="B10" s="11" t="s">
        <v>55</v>
      </c>
      <c r="C10" s="19">
        <v>15.0</v>
      </c>
      <c r="D10" s="19">
        <v>14.0</v>
      </c>
      <c r="E10" s="19">
        <v>14.0</v>
      </c>
      <c r="F10" s="19">
        <f t="shared" si="1"/>
        <v>19.33333333</v>
      </c>
      <c r="G10" s="19">
        <v>60.0</v>
      </c>
      <c r="H10" s="19">
        <v>30.0</v>
      </c>
      <c r="I10" s="19">
        <v>50.0</v>
      </c>
      <c r="J10" s="34">
        <f t="shared" si="2"/>
        <v>5</v>
      </c>
      <c r="K10" s="35">
        <v>6.0</v>
      </c>
      <c r="L10" s="35">
        <v>6.0</v>
      </c>
      <c r="M10" s="35">
        <v>5.5</v>
      </c>
      <c r="N10" s="35">
        <v>6.0</v>
      </c>
      <c r="O10" s="37">
        <f t="shared" si="3"/>
        <v>23.5</v>
      </c>
      <c r="P10" s="37">
        <f t="shared" si="4"/>
        <v>18.8</v>
      </c>
      <c r="Q10" s="38">
        <v>14.40740741</v>
      </c>
      <c r="R10" s="39">
        <f t="shared" si="5"/>
        <v>57.54</v>
      </c>
      <c r="S10" s="40">
        <v>5.75</v>
      </c>
      <c r="T10" s="40">
        <v>8.0</v>
      </c>
      <c r="U10" s="40">
        <v>12.0</v>
      </c>
      <c r="V10" s="40">
        <v>4.0</v>
      </c>
      <c r="W10" s="41">
        <f t="shared" si="6"/>
        <v>29.75</v>
      </c>
      <c r="X10" s="41">
        <f t="shared" si="7"/>
        <v>22.3125</v>
      </c>
      <c r="Y10" s="41">
        <f t="shared" si="8"/>
        <v>79.8525</v>
      </c>
      <c r="Z10" s="41">
        <f t="shared" si="9"/>
        <v>80</v>
      </c>
      <c r="AA10" s="18">
        <v>3.5</v>
      </c>
      <c r="AB10" s="18">
        <v>2.0</v>
      </c>
      <c r="AC10" s="18">
        <v>2.0</v>
      </c>
      <c r="AD10" s="18">
        <v>4.0</v>
      </c>
    </row>
    <row r="11">
      <c r="A11" s="11">
        <v>1.000054866E9</v>
      </c>
      <c r="B11" s="11" t="s">
        <v>57</v>
      </c>
      <c r="C11" s="19">
        <v>0.0</v>
      </c>
      <c r="D11" s="19">
        <v>0.0</v>
      </c>
      <c r="E11" s="19">
        <v>0.0</v>
      </c>
      <c r="F11" s="19">
        <f t="shared" si="1"/>
        <v>0</v>
      </c>
      <c r="G11" s="19">
        <v>60.0</v>
      </c>
      <c r="H11" s="19">
        <v>0.0</v>
      </c>
      <c r="I11" s="19">
        <v>0.0</v>
      </c>
      <c r="J11" s="34">
        <f t="shared" si="2"/>
        <v>1.67</v>
      </c>
      <c r="K11" s="35">
        <v>0.0</v>
      </c>
      <c r="L11" s="35">
        <v>0.0</v>
      </c>
      <c r="M11" s="35">
        <v>0.0</v>
      </c>
      <c r="N11" s="35">
        <v>5.5</v>
      </c>
      <c r="O11" s="37">
        <f t="shared" si="3"/>
        <v>5.5</v>
      </c>
      <c r="P11" s="37">
        <f t="shared" si="4"/>
        <v>4.4</v>
      </c>
      <c r="Q11" s="38">
        <v>1.648148148</v>
      </c>
      <c r="R11" s="39">
        <f t="shared" si="5"/>
        <v>7.72</v>
      </c>
      <c r="S11" s="41"/>
      <c r="T11" s="41"/>
      <c r="U11" s="41"/>
      <c r="V11" s="41"/>
      <c r="W11" s="41">
        <f t="shared" si="6"/>
        <v>0</v>
      </c>
      <c r="X11" s="41">
        <f t="shared" si="7"/>
        <v>0</v>
      </c>
      <c r="Y11" s="41">
        <f t="shared" si="8"/>
        <v>7.72</v>
      </c>
      <c r="Z11" s="41">
        <f t="shared" si="9"/>
        <v>8</v>
      </c>
      <c r="AA11" s="18">
        <v>0.0</v>
      </c>
      <c r="AB11" s="18">
        <v>0.0</v>
      </c>
      <c r="AC11" s="18">
        <v>2.0</v>
      </c>
      <c r="AD11" s="18">
        <v>3.5</v>
      </c>
    </row>
    <row r="12">
      <c r="A12" s="11">
        <v>2.1201403E7</v>
      </c>
      <c r="B12" s="11" t="s">
        <v>59</v>
      </c>
      <c r="C12" s="19">
        <v>0.0</v>
      </c>
      <c r="D12" s="19">
        <v>0.0</v>
      </c>
      <c r="E12" s="19">
        <v>1.0</v>
      </c>
      <c r="F12" s="19">
        <f t="shared" si="1"/>
        <v>0.5</v>
      </c>
      <c r="G12" s="19">
        <v>57.0</v>
      </c>
      <c r="H12" s="19">
        <v>0.0</v>
      </c>
      <c r="I12" s="19">
        <v>0.0</v>
      </c>
      <c r="J12" s="34">
        <f t="shared" si="2"/>
        <v>1.58</v>
      </c>
      <c r="K12" s="35">
        <v>1.0</v>
      </c>
      <c r="L12" s="35">
        <v>0.0</v>
      </c>
      <c r="M12" s="35">
        <v>2.0</v>
      </c>
      <c r="N12" s="35">
        <v>3.0</v>
      </c>
      <c r="O12" s="37">
        <f t="shared" si="3"/>
        <v>6</v>
      </c>
      <c r="P12" s="37">
        <f t="shared" si="4"/>
        <v>4.8</v>
      </c>
      <c r="Q12" s="38">
        <v>6.75</v>
      </c>
      <c r="R12" s="39">
        <f t="shared" si="5"/>
        <v>13.63</v>
      </c>
      <c r="S12" s="40">
        <v>2.0</v>
      </c>
      <c r="T12" s="40">
        <v>4.0</v>
      </c>
      <c r="U12" s="40">
        <v>9.5</v>
      </c>
      <c r="V12" s="40">
        <v>5.0</v>
      </c>
      <c r="W12" s="41">
        <f t="shared" si="6"/>
        <v>20.5</v>
      </c>
      <c r="X12" s="41">
        <f t="shared" si="7"/>
        <v>15.375</v>
      </c>
      <c r="Y12" s="41">
        <f t="shared" si="8"/>
        <v>29.005</v>
      </c>
      <c r="Z12" s="41">
        <f t="shared" si="9"/>
        <v>29</v>
      </c>
    </row>
    <row r="13">
      <c r="A13" s="11">
        <v>2.2101748E7</v>
      </c>
      <c r="B13" s="11" t="s">
        <v>61</v>
      </c>
      <c r="C13" s="19">
        <v>0.0</v>
      </c>
      <c r="D13" s="19">
        <v>5.0</v>
      </c>
      <c r="E13" s="19">
        <v>14.0</v>
      </c>
      <c r="F13" s="19">
        <f t="shared" si="1"/>
        <v>10.33333333</v>
      </c>
      <c r="G13" s="19">
        <v>59.0</v>
      </c>
      <c r="H13" s="19">
        <v>15.0</v>
      </c>
      <c r="I13" s="19">
        <v>0.0</v>
      </c>
      <c r="J13" s="34">
        <f t="shared" si="2"/>
        <v>2.47</v>
      </c>
      <c r="K13" s="35">
        <v>3.5</v>
      </c>
      <c r="L13" s="35">
        <v>0.0</v>
      </c>
      <c r="M13" s="35">
        <v>2.5</v>
      </c>
      <c r="N13" s="35">
        <v>4.0</v>
      </c>
      <c r="O13" s="37">
        <f t="shared" si="3"/>
        <v>10</v>
      </c>
      <c r="P13" s="37">
        <f t="shared" si="4"/>
        <v>8</v>
      </c>
      <c r="Q13" s="38">
        <v>4.62962963</v>
      </c>
      <c r="R13" s="39">
        <f t="shared" si="5"/>
        <v>25.43</v>
      </c>
      <c r="S13" s="40">
        <v>2.0</v>
      </c>
      <c r="T13" s="40">
        <v>2.5</v>
      </c>
      <c r="U13" s="40">
        <v>4.0</v>
      </c>
      <c r="V13" s="40">
        <v>2.0</v>
      </c>
      <c r="W13" s="41">
        <f t="shared" si="6"/>
        <v>10.5</v>
      </c>
      <c r="X13" s="41">
        <f t="shared" si="7"/>
        <v>7.875</v>
      </c>
      <c r="Y13" s="41">
        <f t="shared" si="8"/>
        <v>33.305</v>
      </c>
      <c r="Z13" s="41">
        <f t="shared" si="9"/>
        <v>33</v>
      </c>
      <c r="AA13" s="18">
        <v>1.0</v>
      </c>
      <c r="AB13" s="18">
        <v>1.5</v>
      </c>
      <c r="AC13" s="18">
        <v>2.0</v>
      </c>
      <c r="AD13" s="18">
        <v>2.0</v>
      </c>
    </row>
    <row r="14">
      <c r="A14" s="11">
        <v>2.2201135E7</v>
      </c>
      <c r="B14" s="11" t="s">
        <v>63</v>
      </c>
      <c r="C14" s="19">
        <v>0.0</v>
      </c>
      <c r="D14" s="19">
        <v>0.0</v>
      </c>
      <c r="E14" s="19">
        <v>0.0</v>
      </c>
      <c r="F14" s="19">
        <f t="shared" si="1"/>
        <v>0</v>
      </c>
      <c r="G14" s="19">
        <v>0.0</v>
      </c>
      <c r="H14" s="19">
        <v>0.0</v>
      </c>
      <c r="I14" s="19">
        <v>0.0</v>
      </c>
      <c r="J14" s="34">
        <f t="shared" si="2"/>
        <v>0</v>
      </c>
      <c r="K14" s="35">
        <v>5.0</v>
      </c>
      <c r="L14" s="35">
        <v>4.0</v>
      </c>
      <c r="M14" s="35">
        <v>4.0</v>
      </c>
      <c r="N14" s="35">
        <v>4.0</v>
      </c>
      <c r="O14" s="37">
        <f t="shared" si="3"/>
        <v>17</v>
      </c>
      <c r="P14" s="37">
        <f t="shared" si="4"/>
        <v>13.6</v>
      </c>
      <c r="Q14" s="38">
        <v>0.777777778</v>
      </c>
      <c r="R14" s="39">
        <f t="shared" si="5"/>
        <v>14.38</v>
      </c>
      <c r="S14" s="41"/>
      <c r="T14" s="41"/>
      <c r="U14" s="41"/>
      <c r="V14" s="41"/>
      <c r="W14" s="41">
        <f t="shared" si="6"/>
        <v>0</v>
      </c>
      <c r="X14" s="41">
        <f t="shared" si="7"/>
        <v>0</v>
      </c>
      <c r="Y14" s="41">
        <f t="shared" si="8"/>
        <v>14.38</v>
      </c>
      <c r="Z14" s="41">
        <f t="shared" si="9"/>
        <v>14</v>
      </c>
      <c r="AA14" s="18">
        <v>4.0</v>
      </c>
      <c r="AB14" s="18">
        <v>0.0</v>
      </c>
      <c r="AC14" s="18">
        <v>2.0</v>
      </c>
      <c r="AD14" s="18">
        <v>2.0</v>
      </c>
    </row>
    <row r="15">
      <c r="A15" s="11">
        <v>2.2201645E7</v>
      </c>
      <c r="B15" s="11" t="s">
        <v>65</v>
      </c>
      <c r="C15" s="19">
        <v>6.5</v>
      </c>
      <c r="D15" s="19">
        <v>0.0</v>
      </c>
      <c r="E15" s="19">
        <v>0.0</v>
      </c>
      <c r="F15" s="19">
        <f t="shared" si="1"/>
        <v>4.333333333</v>
      </c>
      <c r="G15" s="19">
        <v>60.0</v>
      </c>
      <c r="H15" s="19">
        <v>0.0</v>
      </c>
      <c r="I15" s="19">
        <v>0.0</v>
      </c>
      <c r="J15" s="34">
        <f t="shared" si="2"/>
        <v>1.67</v>
      </c>
      <c r="K15" s="37"/>
      <c r="L15" s="37"/>
      <c r="M15" s="37"/>
      <c r="N15" s="37"/>
      <c r="O15" s="37">
        <f t="shared" si="3"/>
        <v>0</v>
      </c>
      <c r="P15" s="37">
        <f t="shared" si="4"/>
        <v>0</v>
      </c>
      <c r="Q15" s="38">
        <v>1.388888889</v>
      </c>
      <c r="R15" s="39">
        <f t="shared" si="5"/>
        <v>7.39</v>
      </c>
      <c r="S15" s="41"/>
      <c r="T15" s="41"/>
      <c r="U15" s="41"/>
      <c r="V15" s="41"/>
      <c r="W15" s="41">
        <f t="shared" si="6"/>
        <v>0</v>
      </c>
      <c r="X15" s="41">
        <f t="shared" si="7"/>
        <v>0</v>
      </c>
      <c r="Y15" s="41">
        <f t="shared" si="8"/>
        <v>7.39</v>
      </c>
      <c r="Z15" s="41">
        <f t="shared" si="9"/>
        <v>7</v>
      </c>
    </row>
    <row r="16">
      <c r="A16" s="11">
        <v>2.2201661E7</v>
      </c>
      <c r="B16" s="11" t="s">
        <v>68</v>
      </c>
      <c r="C16" s="19">
        <v>2.0</v>
      </c>
      <c r="D16" s="19">
        <v>13.0</v>
      </c>
      <c r="E16" s="19">
        <v>3.0</v>
      </c>
      <c r="F16" s="19">
        <f t="shared" si="1"/>
        <v>10.16666667</v>
      </c>
      <c r="G16" s="19">
        <v>58.0</v>
      </c>
      <c r="H16" s="19">
        <v>30.0</v>
      </c>
      <c r="I16" s="19">
        <v>0.0</v>
      </c>
      <c r="J16" s="34">
        <f t="shared" si="2"/>
        <v>3.28</v>
      </c>
      <c r="K16" s="35">
        <v>3.0</v>
      </c>
      <c r="L16" s="35">
        <v>4.0</v>
      </c>
      <c r="M16" s="35">
        <v>2.0</v>
      </c>
      <c r="N16" s="35">
        <v>4.0</v>
      </c>
      <c r="O16" s="37">
        <f t="shared" si="3"/>
        <v>13</v>
      </c>
      <c r="P16" s="37">
        <f t="shared" si="4"/>
        <v>10.4</v>
      </c>
      <c r="Q16" s="38">
        <v>8.75</v>
      </c>
      <c r="R16" s="39">
        <f t="shared" si="5"/>
        <v>32.6</v>
      </c>
      <c r="S16" s="40">
        <v>2.0</v>
      </c>
      <c r="T16" s="40">
        <v>3.0</v>
      </c>
      <c r="U16" s="40">
        <v>8.0</v>
      </c>
      <c r="V16" s="40">
        <v>0.0</v>
      </c>
      <c r="W16" s="41">
        <f t="shared" si="6"/>
        <v>13</v>
      </c>
      <c r="X16" s="41">
        <f t="shared" si="7"/>
        <v>9.75</v>
      </c>
      <c r="Y16" s="41">
        <f t="shared" si="8"/>
        <v>42.35</v>
      </c>
      <c r="Z16" s="41">
        <f t="shared" si="9"/>
        <v>42</v>
      </c>
      <c r="AA16" s="18">
        <v>1.0</v>
      </c>
      <c r="AB16" s="18">
        <v>0.0</v>
      </c>
      <c r="AC16" s="18">
        <v>2.0</v>
      </c>
      <c r="AD16" s="18">
        <v>2.0</v>
      </c>
    </row>
    <row r="17">
      <c r="A17" s="11">
        <v>2.2301015E7</v>
      </c>
      <c r="B17" s="11" t="s">
        <v>70</v>
      </c>
      <c r="C17" s="19">
        <v>0.0</v>
      </c>
      <c r="D17" s="19">
        <v>5.0</v>
      </c>
      <c r="E17" s="19">
        <v>0.0</v>
      </c>
      <c r="F17" s="19">
        <f t="shared" si="1"/>
        <v>3.333333333</v>
      </c>
      <c r="G17" s="19">
        <v>0.0</v>
      </c>
      <c r="H17" s="19">
        <v>15.0</v>
      </c>
      <c r="I17" s="19">
        <v>0.0</v>
      </c>
      <c r="J17" s="34">
        <f t="shared" si="2"/>
        <v>0.83</v>
      </c>
      <c r="K17" s="37"/>
      <c r="L17" s="37"/>
      <c r="M17" s="37"/>
      <c r="N17" s="37"/>
      <c r="O17" s="37">
        <f t="shared" si="3"/>
        <v>0</v>
      </c>
      <c r="P17" s="37">
        <f t="shared" si="4"/>
        <v>0</v>
      </c>
      <c r="Q17" s="38">
        <v>0.0</v>
      </c>
      <c r="R17" s="39">
        <f t="shared" si="5"/>
        <v>4.16</v>
      </c>
      <c r="S17" s="41"/>
      <c r="T17" s="41"/>
      <c r="U17" s="41"/>
      <c r="V17" s="41"/>
      <c r="W17" s="41">
        <f t="shared" si="6"/>
        <v>0</v>
      </c>
      <c r="X17" s="41">
        <f t="shared" si="7"/>
        <v>0</v>
      </c>
      <c r="Y17" s="41">
        <f t="shared" si="8"/>
        <v>4.16</v>
      </c>
      <c r="Z17" s="41">
        <f t="shared" si="9"/>
        <v>4</v>
      </c>
    </row>
    <row r="18">
      <c r="A18" s="32">
        <v>2.2301274E7</v>
      </c>
      <c r="B18" s="11" t="s">
        <v>72</v>
      </c>
      <c r="C18" s="19">
        <v>13.0</v>
      </c>
      <c r="D18" s="19">
        <v>0.0</v>
      </c>
      <c r="E18" s="19">
        <v>0.0</v>
      </c>
      <c r="F18" s="19">
        <f t="shared" si="1"/>
        <v>8.666666667</v>
      </c>
      <c r="G18" s="19">
        <v>56.0</v>
      </c>
      <c r="H18" s="19">
        <v>30.0</v>
      </c>
      <c r="I18" s="19">
        <v>0.0</v>
      </c>
      <c r="J18" s="34">
        <f t="shared" si="2"/>
        <v>3.22</v>
      </c>
      <c r="K18" s="35">
        <v>4.0</v>
      </c>
      <c r="L18" s="35">
        <v>0.0</v>
      </c>
      <c r="M18" s="35">
        <v>1.0</v>
      </c>
      <c r="N18" s="35">
        <v>1.0</v>
      </c>
      <c r="O18" s="37">
        <f t="shared" si="3"/>
        <v>6</v>
      </c>
      <c r="P18" s="37">
        <f t="shared" si="4"/>
        <v>4.8</v>
      </c>
      <c r="Q18" s="38">
        <v>4.074074074</v>
      </c>
      <c r="R18" s="39">
        <f t="shared" si="5"/>
        <v>20.76</v>
      </c>
      <c r="S18" s="41"/>
      <c r="T18" s="41"/>
      <c r="U18" s="41"/>
      <c r="V18" s="41"/>
      <c r="W18" s="41">
        <f t="shared" si="6"/>
        <v>0</v>
      </c>
      <c r="X18" s="41">
        <f t="shared" si="7"/>
        <v>0</v>
      </c>
      <c r="Y18" s="41">
        <f t="shared" si="8"/>
        <v>20.76</v>
      </c>
      <c r="Z18" s="41">
        <f t="shared" si="9"/>
        <v>21</v>
      </c>
      <c r="AA18" s="18">
        <v>1.0</v>
      </c>
      <c r="AB18" s="18">
        <v>0.0</v>
      </c>
      <c r="AC18" s="18">
        <v>0.0</v>
      </c>
      <c r="AD18" s="18">
        <v>1.0</v>
      </c>
    </row>
    <row r="19">
      <c r="A19" s="11">
        <v>2.2301449E7</v>
      </c>
      <c r="B19" s="11" t="s">
        <v>74</v>
      </c>
      <c r="C19" s="19">
        <v>10.0</v>
      </c>
      <c r="D19" s="19">
        <v>10.0</v>
      </c>
      <c r="E19" s="19">
        <v>3.0</v>
      </c>
      <c r="F19" s="19">
        <f t="shared" si="1"/>
        <v>13.33333333</v>
      </c>
      <c r="G19" s="19">
        <v>57.0</v>
      </c>
      <c r="H19" s="19">
        <v>15.0</v>
      </c>
      <c r="I19" s="19">
        <v>50.0</v>
      </c>
      <c r="J19" s="34">
        <f t="shared" si="2"/>
        <v>4.08</v>
      </c>
      <c r="K19" s="35">
        <v>4.0</v>
      </c>
      <c r="L19" s="35">
        <v>0.0</v>
      </c>
      <c r="M19" s="35">
        <v>3.0</v>
      </c>
      <c r="N19" s="35">
        <v>0.0</v>
      </c>
      <c r="O19" s="37">
        <f t="shared" si="3"/>
        <v>7</v>
      </c>
      <c r="P19" s="37">
        <f t="shared" si="4"/>
        <v>5.6</v>
      </c>
      <c r="Q19" s="38">
        <v>5.5</v>
      </c>
      <c r="R19" s="39">
        <f t="shared" si="5"/>
        <v>28.51</v>
      </c>
      <c r="S19" s="40">
        <v>2.0</v>
      </c>
      <c r="T19" s="40">
        <v>3.0</v>
      </c>
      <c r="U19" s="40">
        <v>6.0</v>
      </c>
      <c r="V19" s="40">
        <v>5.0</v>
      </c>
      <c r="W19" s="41">
        <f t="shared" si="6"/>
        <v>16</v>
      </c>
      <c r="X19" s="41">
        <f t="shared" si="7"/>
        <v>12</v>
      </c>
      <c r="Y19" s="41">
        <f t="shared" si="8"/>
        <v>40.51</v>
      </c>
      <c r="Z19" s="41">
        <f t="shared" si="9"/>
        <v>41</v>
      </c>
      <c r="AA19" s="18">
        <v>2.0</v>
      </c>
      <c r="AB19" s="18">
        <v>1.0</v>
      </c>
      <c r="AC19" s="18">
        <v>0.0</v>
      </c>
      <c r="AD19" s="18">
        <v>0.0</v>
      </c>
    </row>
    <row r="20">
      <c r="A20" s="11">
        <v>2.3101287E7</v>
      </c>
      <c r="B20" s="11" t="s">
        <v>76</v>
      </c>
      <c r="C20" s="19">
        <v>5.0</v>
      </c>
      <c r="D20" s="19">
        <v>14.0</v>
      </c>
      <c r="E20" s="19">
        <v>10.0</v>
      </c>
      <c r="F20" s="19">
        <f t="shared" si="1"/>
        <v>14.33333333</v>
      </c>
      <c r="G20" s="19">
        <v>59.0</v>
      </c>
      <c r="H20" s="19">
        <v>30.0</v>
      </c>
      <c r="I20" s="19">
        <v>50.0</v>
      </c>
      <c r="J20" s="34">
        <f t="shared" si="2"/>
        <v>4.97</v>
      </c>
      <c r="K20" s="35">
        <v>1.5</v>
      </c>
      <c r="L20" s="35">
        <v>6.0</v>
      </c>
      <c r="M20" s="35">
        <v>3.5</v>
      </c>
      <c r="N20" s="35">
        <v>2.5</v>
      </c>
      <c r="O20" s="37">
        <f t="shared" si="3"/>
        <v>13.5</v>
      </c>
      <c r="P20" s="37">
        <f t="shared" si="4"/>
        <v>10.8</v>
      </c>
      <c r="Q20" s="38">
        <v>4.351851852</v>
      </c>
      <c r="R20" s="39">
        <f t="shared" si="5"/>
        <v>34.46</v>
      </c>
      <c r="S20" s="40">
        <v>5.75</v>
      </c>
      <c r="T20" s="40">
        <v>4.5</v>
      </c>
      <c r="U20" s="40">
        <v>9.0</v>
      </c>
      <c r="V20" s="40">
        <v>4.0</v>
      </c>
      <c r="W20" s="41">
        <f t="shared" si="6"/>
        <v>23.25</v>
      </c>
      <c r="X20" s="41">
        <f t="shared" si="7"/>
        <v>17.4375</v>
      </c>
      <c r="Y20" s="41">
        <f t="shared" si="8"/>
        <v>51.8975</v>
      </c>
      <c r="Z20" s="41">
        <f t="shared" si="9"/>
        <v>52</v>
      </c>
      <c r="AA20" s="18">
        <v>2.0</v>
      </c>
      <c r="AB20" s="18">
        <v>1.5</v>
      </c>
      <c r="AC20" s="18">
        <v>0.0</v>
      </c>
      <c r="AD20" s="18">
        <v>2.5</v>
      </c>
    </row>
    <row r="21">
      <c r="A21" s="11">
        <v>2.3201219E7</v>
      </c>
      <c r="B21" s="11" t="s">
        <v>78</v>
      </c>
      <c r="C21" s="19">
        <v>0.0</v>
      </c>
      <c r="D21" s="19">
        <v>3.0</v>
      </c>
      <c r="E21" s="19">
        <v>0.0</v>
      </c>
      <c r="F21" s="19">
        <f t="shared" si="1"/>
        <v>2</v>
      </c>
      <c r="G21" s="19">
        <v>0.0</v>
      </c>
      <c r="H21" s="19">
        <v>0.0</v>
      </c>
      <c r="I21" s="19">
        <v>0.0</v>
      </c>
      <c r="J21" s="34">
        <f t="shared" si="2"/>
        <v>0</v>
      </c>
      <c r="K21" s="35">
        <v>2.0</v>
      </c>
      <c r="L21" s="35">
        <v>5.0</v>
      </c>
      <c r="M21" s="35">
        <v>1.0</v>
      </c>
      <c r="N21" s="35">
        <v>1.0</v>
      </c>
      <c r="O21" s="37">
        <f t="shared" si="3"/>
        <v>9</v>
      </c>
      <c r="P21" s="37">
        <f t="shared" si="4"/>
        <v>7.2</v>
      </c>
      <c r="Q21" s="38">
        <v>1.453703704</v>
      </c>
      <c r="R21" s="39">
        <f t="shared" si="5"/>
        <v>10.65</v>
      </c>
      <c r="S21" s="41"/>
      <c r="T21" s="41"/>
      <c r="U21" s="41"/>
      <c r="V21" s="41"/>
      <c r="W21" s="41">
        <f t="shared" si="6"/>
        <v>0</v>
      </c>
      <c r="X21" s="41">
        <f t="shared" si="7"/>
        <v>0</v>
      </c>
      <c r="Y21" s="41">
        <f t="shared" si="8"/>
        <v>10.65</v>
      </c>
      <c r="Z21" s="41">
        <f t="shared" si="9"/>
        <v>11</v>
      </c>
      <c r="AA21" s="18">
        <v>1.0</v>
      </c>
      <c r="AB21" s="18">
        <v>0.0</v>
      </c>
      <c r="AC21" s="18">
        <v>2.0</v>
      </c>
      <c r="AD21" s="18">
        <v>1.0</v>
      </c>
    </row>
    <row r="22">
      <c r="A22" s="11">
        <v>2.3301571E7</v>
      </c>
      <c r="B22" s="11" t="s">
        <v>80</v>
      </c>
      <c r="C22" s="19">
        <v>14.0</v>
      </c>
      <c r="D22" s="19">
        <v>1.0</v>
      </c>
      <c r="E22" s="19">
        <v>20.0</v>
      </c>
      <c r="F22" s="19">
        <f t="shared" si="1"/>
        <v>19.33333333</v>
      </c>
      <c r="G22" s="19">
        <v>60.0</v>
      </c>
      <c r="H22" s="19">
        <v>30.0</v>
      </c>
      <c r="I22" s="19">
        <v>50.0</v>
      </c>
      <c r="J22" s="34">
        <f t="shared" si="2"/>
        <v>5</v>
      </c>
      <c r="K22" s="35">
        <v>4.0</v>
      </c>
      <c r="L22" s="35">
        <v>6.0</v>
      </c>
      <c r="M22" s="35">
        <v>3.0</v>
      </c>
      <c r="N22" s="35">
        <v>0.0</v>
      </c>
      <c r="O22" s="37">
        <f t="shared" si="3"/>
        <v>13</v>
      </c>
      <c r="P22" s="37">
        <f t="shared" si="4"/>
        <v>10.4</v>
      </c>
      <c r="Q22" s="38">
        <v>4.166666667</v>
      </c>
      <c r="R22" s="39">
        <f t="shared" si="5"/>
        <v>38.9</v>
      </c>
      <c r="S22" s="40">
        <v>4.0</v>
      </c>
      <c r="T22" s="40">
        <v>0.0</v>
      </c>
      <c r="U22" s="40">
        <v>10.5</v>
      </c>
      <c r="V22" s="40">
        <v>3.5</v>
      </c>
      <c r="W22" s="41">
        <f t="shared" si="6"/>
        <v>18</v>
      </c>
      <c r="X22" s="41">
        <f t="shared" si="7"/>
        <v>13.5</v>
      </c>
      <c r="Y22" s="41">
        <f t="shared" si="8"/>
        <v>52.4</v>
      </c>
      <c r="Z22" s="41">
        <f t="shared" si="9"/>
        <v>52</v>
      </c>
      <c r="AA22" s="18">
        <v>3.0</v>
      </c>
      <c r="AB22" s="18">
        <v>0.0</v>
      </c>
      <c r="AC22" s="18">
        <v>0.0</v>
      </c>
      <c r="AD22" s="18">
        <v>0.0</v>
      </c>
    </row>
    <row r="23">
      <c r="A23" s="11">
        <v>2.4101109E7</v>
      </c>
      <c r="B23" s="11" t="s">
        <v>82</v>
      </c>
      <c r="C23" s="19">
        <v>14.0</v>
      </c>
      <c r="D23" s="19">
        <v>2.0</v>
      </c>
      <c r="E23" s="19">
        <v>10.0</v>
      </c>
      <c r="F23" s="19">
        <f t="shared" si="1"/>
        <v>14.33333333</v>
      </c>
      <c r="G23" s="19">
        <v>59.0</v>
      </c>
      <c r="H23" s="19">
        <v>0.0</v>
      </c>
      <c r="I23" s="19">
        <v>50.0</v>
      </c>
      <c r="J23" s="34">
        <f t="shared" si="2"/>
        <v>3.31</v>
      </c>
      <c r="K23" s="35">
        <v>4.0</v>
      </c>
      <c r="L23" s="35">
        <v>5.0</v>
      </c>
      <c r="M23" s="35">
        <v>3.0</v>
      </c>
      <c r="N23" s="35">
        <v>0.0</v>
      </c>
      <c r="O23" s="37">
        <f t="shared" si="3"/>
        <v>12</v>
      </c>
      <c r="P23" s="37">
        <f t="shared" si="4"/>
        <v>9.6</v>
      </c>
      <c r="Q23" s="38">
        <v>1.833333333</v>
      </c>
      <c r="R23" s="39">
        <f t="shared" si="5"/>
        <v>29.08</v>
      </c>
      <c r="S23" s="40">
        <v>4.0</v>
      </c>
      <c r="T23" s="40">
        <v>1.0</v>
      </c>
      <c r="U23" s="40">
        <v>8.0</v>
      </c>
      <c r="V23" s="40">
        <v>5.5</v>
      </c>
      <c r="W23" s="41">
        <f t="shared" si="6"/>
        <v>18.5</v>
      </c>
      <c r="X23" s="41">
        <f t="shared" si="7"/>
        <v>13.875</v>
      </c>
      <c r="Y23" s="41">
        <f t="shared" si="8"/>
        <v>42.955</v>
      </c>
      <c r="Z23" s="41">
        <f t="shared" si="9"/>
        <v>43</v>
      </c>
      <c r="AA23" s="18">
        <v>2.0</v>
      </c>
      <c r="AB23" s="18">
        <v>1.0</v>
      </c>
      <c r="AC23" s="18">
        <v>0.0</v>
      </c>
      <c r="AD23" s="18">
        <v>0.0</v>
      </c>
    </row>
    <row r="24">
      <c r="A24" s="11">
        <v>2.4101309E7</v>
      </c>
      <c r="B24" s="11" t="s">
        <v>84</v>
      </c>
      <c r="C24" s="19">
        <v>0.0</v>
      </c>
      <c r="D24" s="19">
        <v>0.0</v>
      </c>
      <c r="E24" s="19">
        <v>17.0</v>
      </c>
      <c r="F24" s="19">
        <f t="shared" si="1"/>
        <v>8.5</v>
      </c>
      <c r="G24" s="19">
        <v>60.0</v>
      </c>
      <c r="H24" s="19">
        <v>0.0</v>
      </c>
      <c r="I24" s="19">
        <v>50.0</v>
      </c>
      <c r="J24" s="34">
        <f t="shared" si="2"/>
        <v>3.33</v>
      </c>
      <c r="K24" s="35">
        <v>1.0</v>
      </c>
      <c r="L24" s="35">
        <v>2.0</v>
      </c>
      <c r="M24" s="35">
        <v>5.0</v>
      </c>
      <c r="N24" s="35">
        <v>4.0</v>
      </c>
      <c r="O24" s="37">
        <f t="shared" si="3"/>
        <v>12</v>
      </c>
      <c r="P24" s="37">
        <f t="shared" si="4"/>
        <v>9.6</v>
      </c>
      <c r="Q24" s="38">
        <v>2.222222222</v>
      </c>
      <c r="R24" s="39">
        <f t="shared" si="5"/>
        <v>23.65</v>
      </c>
      <c r="S24" s="40">
        <v>1.0</v>
      </c>
      <c r="T24" s="40">
        <v>4.0</v>
      </c>
      <c r="U24" s="40">
        <v>10.0</v>
      </c>
      <c r="V24" s="40">
        <v>6.0</v>
      </c>
      <c r="W24" s="41">
        <f t="shared" si="6"/>
        <v>21</v>
      </c>
      <c r="X24" s="41">
        <f t="shared" si="7"/>
        <v>15.75</v>
      </c>
      <c r="Y24" s="41">
        <f t="shared" si="8"/>
        <v>39.4</v>
      </c>
      <c r="Z24" s="41">
        <f t="shared" si="9"/>
        <v>39</v>
      </c>
      <c r="AA24" s="18">
        <v>2.0</v>
      </c>
      <c r="AB24" s="18">
        <v>2.0</v>
      </c>
      <c r="AC24" s="18">
        <v>0.0</v>
      </c>
      <c r="AD24" s="18">
        <v>4.0</v>
      </c>
    </row>
    <row r="25">
      <c r="A25" s="11">
        <v>2.4141155E7</v>
      </c>
      <c r="B25" s="11" t="s">
        <v>86</v>
      </c>
      <c r="C25" s="19">
        <v>0.0</v>
      </c>
      <c r="D25" s="19">
        <v>0.0</v>
      </c>
      <c r="E25" s="19">
        <v>0.0</v>
      </c>
      <c r="F25" s="19">
        <f t="shared" si="1"/>
        <v>0</v>
      </c>
      <c r="G25" s="19">
        <v>0.0</v>
      </c>
      <c r="H25" s="19">
        <v>0.0</v>
      </c>
      <c r="I25" s="19">
        <v>0.0</v>
      </c>
      <c r="J25" s="34">
        <f t="shared" si="2"/>
        <v>0</v>
      </c>
      <c r="K25" s="37"/>
      <c r="L25" s="37"/>
      <c r="M25" s="37"/>
      <c r="N25" s="37"/>
      <c r="O25" s="37">
        <f t="shared" si="3"/>
        <v>0</v>
      </c>
      <c r="P25" s="37">
        <f t="shared" si="4"/>
        <v>0</v>
      </c>
      <c r="Q25" s="38">
        <v>0.740740741</v>
      </c>
      <c r="R25" s="39">
        <f t="shared" si="5"/>
        <v>0.74</v>
      </c>
      <c r="S25" s="41"/>
      <c r="T25" s="41"/>
      <c r="U25" s="41"/>
      <c r="V25" s="41"/>
      <c r="W25" s="41">
        <f t="shared" si="6"/>
        <v>0</v>
      </c>
      <c r="X25" s="41">
        <f t="shared" si="7"/>
        <v>0</v>
      </c>
      <c r="Y25" s="41">
        <f t="shared" si="8"/>
        <v>0.74</v>
      </c>
      <c r="Z25" s="41">
        <f t="shared" si="9"/>
        <v>1</v>
      </c>
    </row>
    <row r="26">
      <c r="A26" s="11">
        <v>2.4201111E7</v>
      </c>
      <c r="B26" s="11" t="s">
        <v>88</v>
      </c>
      <c r="C26" s="19">
        <v>13.0</v>
      </c>
      <c r="D26" s="19">
        <v>15.0</v>
      </c>
      <c r="E26" s="19">
        <v>20.0</v>
      </c>
      <c r="F26" s="19">
        <f t="shared" si="1"/>
        <v>20</v>
      </c>
      <c r="G26" s="19">
        <v>60.0</v>
      </c>
      <c r="H26" s="19">
        <v>30.0</v>
      </c>
      <c r="I26" s="19">
        <v>50.0</v>
      </c>
      <c r="J26" s="34">
        <f t="shared" si="2"/>
        <v>5</v>
      </c>
      <c r="K26" s="35">
        <v>6.0</v>
      </c>
      <c r="L26" s="35">
        <v>1.0</v>
      </c>
      <c r="M26" s="35">
        <v>5.0</v>
      </c>
      <c r="N26" s="35">
        <v>6.0</v>
      </c>
      <c r="O26" s="37">
        <f t="shared" si="3"/>
        <v>18</v>
      </c>
      <c r="P26" s="37">
        <f t="shared" si="4"/>
        <v>14.4</v>
      </c>
      <c r="Q26" s="38">
        <v>16.0</v>
      </c>
      <c r="R26" s="39">
        <f t="shared" si="5"/>
        <v>55.4</v>
      </c>
      <c r="S26" s="40">
        <v>5.0</v>
      </c>
      <c r="T26" s="40">
        <v>8.0</v>
      </c>
      <c r="U26" s="40">
        <v>11.5</v>
      </c>
      <c r="V26" s="40">
        <v>8.0</v>
      </c>
      <c r="W26" s="41">
        <f t="shared" si="6"/>
        <v>32.5</v>
      </c>
      <c r="X26" s="41">
        <f t="shared" si="7"/>
        <v>24.375</v>
      </c>
      <c r="Y26" s="41">
        <f t="shared" si="8"/>
        <v>79.775</v>
      </c>
      <c r="Z26" s="41">
        <f t="shared" si="9"/>
        <v>80</v>
      </c>
      <c r="AA26" s="18">
        <v>4.0</v>
      </c>
      <c r="AB26" s="18">
        <v>1.0</v>
      </c>
      <c r="AC26" s="18">
        <v>2.0</v>
      </c>
      <c r="AD26" s="18">
        <v>4.0</v>
      </c>
    </row>
    <row r="27">
      <c r="A27" s="11">
        <v>2.4201192E7</v>
      </c>
      <c r="B27" s="11" t="s">
        <v>90</v>
      </c>
      <c r="C27" s="19">
        <v>11.0</v>
      </c>
      <c r="D27" s="19">
        <v>15.0</v>
      </c>
      <c r="E27" s="19">
        <v>4.0</v>
      </c>
      <c r="F27" s="19">
        <f t="shared" si="1"/>
        <v>17.33333333</v>
      </c>
      <c r="G27" s="19">
        <v>58.0</v>
      </c>
      <c r="H27" s="19">
        <v>30.0</v>
      </c>
      <c r="I27" s="19">
        <v>0.0</v>
      </c>
      <c r="J27" s="34">
        <f t="shared" si="2"/>
        <v>3.28</v>
      </c>
      <c r="K27" s="35">
        <v>4.0</v>
      </c>
      <c r="L27" s="35">
        <v>2.0</v>
      </c>
      <c r="M27" s="35">
        <v>0.0</v>
      </c>
      <c r="N27" s="35">
        <v>5.0</v>
      </c>
      <c r="O27" s="37">
        <f t="shared" si="3"/>
        <v>11</v>
      </c>
      <c r="P27" s="37">
        <f t="shared" si="4"/>
        <v>8.8</v>
      </c>
      <c r="Q27" s="38">
        <v>6.074074074</v>
      </c>
      <c r="R27" s="39">
        <f t="shared" si="5"/>
        <v>35.49</v>
      </c>
      <c r="S27" s="40">
        <v>1.0</v>
      </c>
      <c r="T27" s="40">
        <v>9.5</v>
      </c>
      <c r="U27" s="40">
        <v>9.5</v>
      </c>
      <c r="V27" s="40">
        <v>2.0</v>
      </c>
      <c r="W27" s="41">
        <f t="shared" si="6"/>
        <v>22</v>
      </c>
      <c r="X27" s="41">
        <f t="shared" si="7"/>
        <v>16.5</v>
      </c>
      <c r="Y27" s="41">
        <f t="shared" si="8"/>
        <v>51.99</v>
      </c>
      <c r="Z27" s="41">
        <f t="shared" si="9"/>
        <v>52</v>
      </c>
    </row>
    <row r="28">
      <c r="A28" s="11">
        <v>2.4201208E7</v>
      </c>
      <c r="B28" s="11" t="s">
        <v>92</v>
      </c>
      <c r="C28" s="19">
        <v>13.0</v>
      </c>
      <c r="D28" s="19">
        <v>15.0</v>
      </c>
      <c r="E28" s="19">
        <v>20.0</v>
      </c>
      <c r="F28" s="19">
        <f t="shared" si="1"/>
        <v>20</v>
      </c>
      <c r="G28" s="19">
        <v>60.0</v>
      </c>
      <c r="H28" s="19">
        <v>30.0</v>
      </c>
      <c r="I28" s="19">
        <v>50.0</v>
      </c>
      <c r="J28" s="34">
        <f t="shared" si="2"/>
        <v>5</v>
      </c>
      <c r="K28" s="35">
        <v>6.0</v>
      </c>
      <c r="L28" s="35">
        <v>4.0</v>
      </c>
      <c r="M28" s="35">
        <v>5.0</v>
      </c>
      <c r="N28" s="35">
        <v>3.5</v>
      </c>
      <c r="O28" s="37">
        <f t="shared" si="3"/>
        <v>18.5</v>
      </c>
      <c r="P28" s="37">
        <f t="shared" si="4"/>
        <v>14.8</v>
      </c>
      <c r="Q28" s="38">
        <v>7.564814815</v>
      </c>
      <c r="R28" s="39">
        <f t="shared" si="5"/>
        <v>47.36</v>
      </c>
      <c r="S28" s="40">
        <v>7.0</v>
      </c>
      <c r="T28" s="40">
        <v>9.5</v>
      </c>
      <c r="U28" s="40">
        <v>11.5</v>
      </c>
      <c r="V28" s="40">
        <v>2.0</v>
      </c>
      <c r="W28" s="41">
        <f t="shared" si="6"/>
        <v>30</v>
      </c>
      <c r="X28" s="41">
        <f t="shared" si="7"/>
        <v>22.5</v>
      </c>
      <c r="Y28" s="41">
        <f t="shared" si="8"/>
        <v>69.86</v>
      </c>
      <c r="Z28" s="41">
        <f t="shared" si="9"/>
        <v>70</v>
      </c>
      <c r="AA28" s="18">
        <v>3.0</v>
      </c>
      <c r="AB28" s="18">
        <v>2.0</v>
      </c>
      <c r="AC28" s="18">
        <v>2.0</v>
      </c>
      <c r="AD28" s="18">
        <v>1.5</v>
      </c>
    </row>
    <row r="29">
      <c r="A29" s="11">
        <v>2.4201304E7</v>
      </c>
      <c r="B29" s="11" t="s">
        <v>94</v>
      </c>
      <c r="C29" s="19">
        <v>9.0</v>
      </c>
      <c r="D29" s="19">
        <v>10.0</v>
      </c>
      <c r="E29" s="19">
        <v>0.0</v>
      </c>
      <c r="F29" s="19">
        <f t="shared" si="1"/>
        <v>12.66666667</v>
      </c>
      <c r="G29" s="19">
        <v>56.0</v>
      </c>
      <c r="H29" s="19">
        <v>30.0</v>
      </c>
      <c r="I29" s="19">
        <v>50.0</v>
      </c>
      <c r="J29" s="34">
        <f t="shared" si="2"/>
        <v>4.89</v>
      </c>
      <c r="K29" s="35">
        <v>3.0</v>
      </c>
      <c r="L29" s="35">
        <v>5.0</v>
      </c>
      <c r="M29" s="35">
        <v>2.0</v>
      </c>
      <c r="N29" s="35">
        <v>4.0</v>
      </c>
      <c r="O29" s="37">
        <f t="shared" si="3"/>
        <v>14</v>
      </c>
      <c r="P29" s="37">
        <f t="shared" si="4"/>
        <v>11.2</v>
      </c>
      <c r="Q29" s="38">
        <v>8.0</v>
      </c>
      <c r="R29" s="39">
        <f t="shared" si="5"/>
        <v>36.76</v>
      </c>
      <c r="S29" s="40">
        <v>0.0</v>
      </c>
      <c r="T29" s="40">
        <v>2.5</v>
      </c>
      <c r="U29" s="40">
        <v>11.0</v>
      </c>
      <c r="V29" s="40">
        <v>4.0</v>
      </c>
      <c r="W29" s="41">
        <f t="shared" si="6"/>
        <v>17.5</v>
      </c>
      <c r="X29" s="41">
        <f t="shared" si="7"/>
        <v>13.125</v>
      </c>
      <c r="Y29" s="41">
        <f t="shared" si="8"/>
        <v>49.885</v>
      </c>
      <c r="Z29" s="41">
        <f t="shared" si="9"/>
        <v>50</v>
      </c>
      <c r="AA29" s="18">
        <v>2.0</v>
      </c>
      <c r="AB29" s="18">
        <v>0.0</v>
      </c>
      <c r="AC29" s="18">
        <v>2.0</v>
      </c>
      <c r="AD29" s="18">
        <v>2.0</v>
      </c>
    </row>
    <row r="30">
      <c r="A30" s="11">
        <v>2.4241028E7</v>
      </c>
      <c r="B30" s="11" t="s">
        <v>96</v>
      </c>
      <c r="C30" s="19">
        <v>12.0</v>
      </c>
      <c r="D30" s="19">
        <v>14.5</v>
      </c>
      <c r="E30" s="19">
        <v>5.0</v>
      </c>
      <c r="F30" s="19">
        <f t="shared" si="1"/>
        <v>17.66666667</v>
      </c>
      <c r="G30" s="19">
        <v>58.0</v>
      </c>
      <c r="H30" s="19">
        <v>30.0</v>
      </c>
      <c r="I30" s="19">
        <v>50.0</v>
      </c>
      <c r="J30" s="34">
        <f t="shared" si="2"/>
        <v>4.94</v>
      </c>
      <c r="K30" s="35">
        <v>3.0</v>
      </c>
      <c r="L30" s="35">
        <v>1.0</v>
      </c>
      <c r="M30" s="35">
        <v>7.0</v>
      </c>
      <c r="N30" s="35">
        <v>5.5</v>
      </c>
      <c r="O30" s="37">
        <f t="shared" si="3"/>
        <v>16.5</v>
      </c>
      <c r="P30" s="37">
        <f t="shared" si="4"/>
        <v>13.2</v>
      </c>
      <c r="Q30" s="38">
        <v>16.75</v>
      </c>
      <c r="R30" s="39">
        <f t="shared" si="5"/>
        <v>52.56</v>
      </c>
      <c r="S30" s="40">
        <v>8.0</v>
      </c>
      <c r="T30" s="40">
        <v>9.0</v>
      </c>
      <c r="U30" s="40">
        <v>8.0</v>
      </c>
      <c r="V30" s="40">
        <v>4.5</v>
      </c>
      <c r="W30" s="41">
        <f t="shared" si="6"/>
        <v>29.5</v>
      </c>
      <c r="X30" s="41">
        <f t="shared" si="7"/>
        <v>22.125</v>
      </c>
      <c r="Y30" s="41">
        <f t="shared" si="8"/>
        <v>74.685</v>
      </c>
      <c r="Z30" s="41">
        <f t="shared" si="9"/>
        <v>75</v>
      </c>
      <c r="AA30" s="18">
        <v>4.0</v>
      </c>
      <c r="AB30" s="18">
        <v>3.0</v>
      </c>
      <c r="AC30" s="18">
        <v>2.0</v>
      </c>
      <c r="AD30" s="18">
        <v>3.5</v>
      </c>
    </row>
    <row r="31">
      <c r="A31" s="42">
        <v>2.4301041E7</v>
      </c>
      <c r="B31" s="42" t="s">
        <v>98</v>
      </c>
      <c r="C31" s="43">
        <v>0.0</v>
      </c>
      <c r="D31" s="43">
        <v>0.0</v>
      </c>
      <c r="E31" s="43">
        <v>0.0</v>
      </c>
      <c r="F31" s="43">
        <f t="shared" si="1"/>
        <v>0</v>
      </c>
      <c r="G31" s="43">
        <v>0.0</v>
      </c>
      <c r="H31" s="43">
        <v>0.0</v>
      </c>
      <c r="I31" s="43">
        <v>0.0</v>
      </c>
      <c r="J31" s="44">
        <f t="shared" si="2"/>
        <v>0</v>
      </c>
      <c r="K31" s="44"/>
      <c r="L31" s="44"/>
      <c r="M31" s="44"/>
      <c r="N31" s="44"/>
      <c r="O31" s="44">
        <f t="shared" si="3"/>
        <v>0</v>
      </c>
      <c r="P31" s="44">
        <f t="shared" si="4"/>
        <v>0</v>
      </c>
      <c r="Q31" s="45">
        <v>-26.0</v>
      </c>
      <c r="R31" s="46">
        <f t="shared" si="5"/>
        <v>-26</v>
      </c>
      <c r="S31" s="47"/>
      <c r="T31" s="47"/>
      <c r="U31" s="47"/>
      <c r="V31" s="47"/>
      <c r="W31" s="47">
        <f t="shared" si="6"/>
        <v>0</v>
      </c>
      <c r="X31" s="47">
        <f t="shared" si="7"/>
        <v>0</v>
      </c>
      <c r="Y31" s="47">
        <f t="shared" si="8"/>
        <v>-26</v>
      </c>
      <c r="Z31" s="47">
        <f t="shared" si="9"/>
        <v>-26</v>
      </c>
      <c r="AA31" s="48"/>
      <c r="AB31" s="48"/>
      <c r="AC31" s="48"/>
      <c r="AD31" s="48"/>
      <c r="AE31" s="48"/>
    </row>
    <row r="32">
      <c r="A32" s="11">
        <v>2.4301101E7</v>
      </c>
      <c r="B32" s="11" t="s">
        <v>100</v>
      </c>
      <c r="C32" s="19">
        <v>8.0</v>
      </c>
      <c r="D32" s="19">
        <v>8.0</v>
      </c>
      <c r="E32" s="19">
        <v>17.0</v>
      </c>
      <c r="F32" s="19">
        <f t="shared" si="1"/>
        <v>13.83333333</v>
      </c>
      <c r="G32" s="19">
        <v>58.0</v>
      </c>
      <c r="H32" s="19">
        <v>15.0</v>
      </c>
      <c r="I32" s="19">
        <v>50.0</v>
      </c>
      <c r="J32" s="34">
        <f t="shared" si="2"/>
        <v>4.11</v>
      </c>
      <c r="K32" s="35">
        <v>4.0</v>
      </c>
      <c r="L32" s="35">
        <v>0.0</v>
      </c>
      <c r="M32" s="35">
        <v>2.0</v>
      </c>
      <c r="N32" s="35">
        <v>4.0</v>
      </c>
      <c r="O32" s="37">
        <f t="shared" si="3"/>
        <v>10</v>
      </c>
      <c r="P32" s="37">
        <f t="shared" si="4"/>
        <v>8</v>
      </c>
      <c r="Q32" s="38">
        <v>7.75</v>
      </c>
      <c r="R32" s="39">
        <f t="shared" si="5"/>
        <v>33.69</v>
      </c>
      <c r="S32" s="40">
        <v>0.5</v>
      </c>
      <c r="T32" s="40">
        <v>3.0</v>
      </c>
      <c r="U32" s="40">
        <v>2.0</v>
      </c>
      <c r="V32" s="40">
        <v>1.5</v>
      </c>
      <c r="W32" s="41">
        <f t="shared" si="6"/>
        <v>7</v>
      </c>
      <c r="X32" s="41">
        <f t="shared" si="7"/>
        <v>5.25</v>
      </c>
      <c r="Y32" s="41">
        <f t="shared" si="8"/>
        <v>38.94</v>
      </c>
      <c r="Z32" s="41">
        <f t="shared" si="9"/>
        <v>39</v>
      </c>
      <c r="AA32" s="18">
        <v>2.0</v>
      </c>
      <c r="AB32" s="18">
        <v>0.0</v>
      </c>
      <c r="AC32" s="18">
        <v>2.0</v>
      </c>
      <c r="AD32" s="18">
        <v>2.0</v>
      </c>
    </row>
    <row r="33">
      <c r="A33" s="11">
        <v>2.4301103E7</v>
      </c>
      <c r="B33" s="11" t="s">
        <v>102</v>
      </c>
      <c r="C33" s="19">
        <v>12.0</v>
      </c>
      <c r="D33" s="19">
        <v>0.0</v>
      </c>
      <c r="E33" s="19">
        <v>0.0</v>
      </c>
      <c r="F33" s="19">
        <f t="shared" si="1"/>
        <v>8</v>
      </c>
      <c r="G33" s="19">
        <v>0.0</v>
      </c>
      <c r="H33" s="19">
        <v>0.0</v>
      </c>
      <c r="I33" s="19">
        <v>0.0</v>
      </c>
      <c r="J33" s="34">
        <f t="shared" si="2"/>
        <v>0</v>
      </c>
      <c r="K33" s="37"/>
      <c r="L33" s="37"/>
      <c r="M33" s="37"/>
      <c r="N33" s="37"/>
      <c r="O33" s="37">
        <f t="shared" si="3"/>
        <v>0</v>
      </c>
      <c r="P33" s="37">
        <f t="shared" si="4"/>
        <v>0</v>
      </c>
      <c r="Q33" s="38">
        <v>-26.0</v>
      </c>
      <c r="R33" s="39">
        <f t="shared" si="5"/>
        <v>-18</v>
      </c>
      <c r="S33" s="41"/>
      <c r="T33" s="41"/>
      <c r="U33" s="41"/>
      <c r="V33" s="41"/>
      <c r="W33" s="41">
        <f t="shared" si="6"/>
        <v>0</v>
      </c>
      <c r="X33" s="41">
        <f t="shared" si="7"/>
        <v>0</v>
      </c>
      <c r="Y33" s="41">
        <f t="shared" si="8"/>
        <v>-18</v>
      </c>
      <c r="Z33" s="41">
        <f t="shared" si="9"/>
        <v>-18</v>
      </c>
    </row>
    <row r="34">
      <c r="A34" s="11">
        <v>2.4341054E7</v>
      </c>
      <c r="B34" s="11" t="s">
        <v>104</v>
      </c>
      <c r="C34" s="19">
        <v>15.0</v>
      </c>
      <c r="D34" s="19">
        <v>0.0</v>
      </c>
      <c r="E34" s="19">
        <v>0.0</v>
      </c>
      <c r="F34" s="19">
        <f t="shared" si="1"/>
        <v>10</v>
      </c>
      <c r="G34" s="19">
        <v>57.0</v>
      </c>
      <c r="H34" s="19">
        <v>25.0</v>
      </c>
      <c r="I34" s="19">
        <v>50.0</v>
      </c>
      <c r="J34" s="34">
        <f t="shared" si="2"/>
        <v>4.64</v>
      </c>
      <c r="K34" s="35">
        <v>6.0</v>
      </c>
      <c r="L34" s="35">
        <v>4.0</v>
      </c>
      <c r="M34" s="35">
        <v>3.5</v>
      </c>
      <c r="N34" s="35">
        <v>5.0</v>
      </c>
      <c r="O34" s="37">
        <f t="shared" si="3"/>
        <v>18.5</v>
      </c>
      <c r="P34" s="37">
        <f t="shared" si="4"/>
        <v>14.8</v>
      </c>
      <c r="Q34" s="38">
        <v>4.814814815</v>
      </c>
      <c r="R34" s="39">
        <f t="shared" si="5"/>
        <v>34.25</v>
      </c>
      <c r="S34" s="40">
        <v>5.25</v>
      </c>
      <c r="T34" s="40">
        <v>6.0</v>
      </c>
      <c r="U34" s="40">
        <v>10.0</v>
      </c>
      <c r="V34" s="40">
        <v>3.0</v>
      </c>
      <c r="W34" s="41">
        <f t="shared" si="6"/>
        <v>24.25</v>
      </c>
      <c r="X34" s="41">
        <f t="shared" si="7"/>
        <v>18.1875</v>
      </c>
      <c r="Y34" s="41">
        <f t="shared" si="8"/>
        <v>52.4375</v>
      </c>
      <c r="Z34" s="41">
        <f t="shared" si="9"/>
        <v>52</v>
      </c>
      <c r="AA34" s="18">
        <v>2.0</v>
      </c>
      <c r="AB34" s="18">
        <v>1.5</v>
      </c>
      <c r="AC34" s="18">
        <v>2.0</v>
      </c>
      <c r="AD34" s="18">
        <v>3.0</v>
      </c>
    </row>
    <row r="35">
      <c r="A35" s="49"/>
      <c r="B35" s="50"/>
      <c r="C35" s="13"/>
      <c r="D35" s="13"/>
      <c r="E35" s="51"/>
      <c r="F35" s="51">
        <f t="shared" ref="F35:F65" si="10">ROUND(F4,3)</f>
        <v>13.333</v>
      </c>
      <c r="G35" s="51"/>
      <c r="H35" s="51"/>
      <c r="I35" s="51"/>
      <c r="J35" s="51"/>
      <c r="K35" s="13"/>
      <c r="L35" s="13"/>
      <c r="M35" s="13"/>
      <c r="N35" s="13"/>
      <c r="O35" s="13"/>
      <c r="P35" s="13"/>
      <c r="Q35" s="52">
        <f t="shared" ref="Q35:Q65" si="11">ROUND(Q4,2)</f>
        <v>6.32</v>
      </c>
    </row>
    <row r="36">
      <c r="A36" s="49"/>
      <c r="B36" s="50"/>
      <c r="C36" s="13"/>
      <c r="D36" s="13"/>
      <c r="E36" s="51"/>
      <c r="F36" s="51">
        <f t="shared" si="10"/>
        <v>19.333</v>
      </c>
      <c r="G36" s="51"/>
      <c r="H36" s="51"/>
      <c r="I36" s="51"/>
      <c r="J36" s="51"/>
      <c r="K36" s="13"/>
      <c r="L36" s="13"/>
      <c r="M36" s="13"/>
      <c r="N36" s="13"/>
      <c r="O36" s="13"/>
      <c r="P36" s="13"/>
      <c r="Q36" s="52">
        <f t="shared" si="11"/>
        <v>24</v>
      </c>
    </row>
    <row r="37">
      <c r="A37" s="49"/>
      <c r="B37" s="50"/>
      <c r="C37" s="13"/>
      <c r="D37" s="13"/>
      <c r="E37" s="51"/>
      <c r="F37" s="51">
        <f t="shared" si="10"/>
        <v>10</v>
      </c>
      <c r="G37" s="51"/>
      <c r="H37" s="51"/>
      <c r="I37" s="51"/>
      <c r="J37" s="51"/>
      <c r="K37" s="13"/>
      <c r="L37" s="13"/>
      <c r="M37" s="13"/>
      <c r="N37" s="13"/>
      <c r="O37" s="13"/>
      <c r="P37" s="13"/>
      <c r="Q37" s="52">
        <f t="shared" si="11"/>
        <v>10.1</v>
      </c>
    </row>
    <row r="38">
      <c r="A38" s="49"/>
      <c r="B38" s="50"/>
      <c r="C38" s="51"/>
      <c r="D38" s="13"/>
      <c r="E38" s="51"/>
      <c r="F38" s="51">
        <f t="shared" si="10"/>
        <v>14.5</v>
      </c>
      <c r="G38" s="51"/>
      <c r="H38" s="51"/>
      <c r="I38" s="51"/>
      <c r="J38" s="51"/>
      <c r="K38" s="13"/>
      <c r="L38" s="13"/>
      <c r="M38" s="13"/>
      <c r="N38" s="13"/>
      <c r="O38" s="13"/>
      <c r="P38" s="13"/>
      <c r="Q38" s="52">
        <f t="shared" si="11"/>
        <v>11.94</v>
      </c>
    </row>
    <row r="39">
      <c r="A39" s="49"/>
      <c r="B39" s="50"/>
      <c r="C39" s="13"/>
      <c r="D39" s="13"/>
      <c r="E39" s="51"/>
      <c r="F39" s="51">
        <f t="shared" si="10"/>
        <v>18.667</v>
      </c>
      <c r="G39" s="51"/>
      <c r="H39" s="51"/>
      <c r="I39" s="51"/>
      <c r="J39" s="51"/>
      <c r="K39" s="13"/>
      <c r="L39" s="13"/>
      <c r="M39" s="13"/>
      <c r="N39" s="13"/>
      <c r="O39" s="13"/>
      <c r="P39" s="13"/>
      <c r="Q39" s="52">
        <f t="shared" si="11"/>
        <v>8.56</v>
      </c>
    </row>
    <row r="40">
      <c r="A40" s="49"/>
      <c r="B40" s="50"/>
      <c r="C40" s="13"/>
      <c r="D40" s="13"/>
      <c r="E40" s="51"/>
      <c r="F40" s="51">
        <f t="shared" si="10"/>
        <v>20</v>
      </c>
      <c r="G40" s="51"/>
      <c r="H40" s="51"/>
      <c r="I40" s="51"/>
      <c r="J40" s="51"/>
      <c r="K40" s="13"/>
      <c r="L40" s="13"/>
      <c r="M40" s="13"/>
      <c r="N40" s="13"/>
      <c r="O40" s="13"/>
      <c r="P40" s="13"/>
      <c r="Q40" s="52">
        <f t="shared" si="11"/>
        <v>8.5</v>
      </c>
    </row>
    <row r="41">
      <c r="A41" s="49"/>
      <c r="B41" s="50"/>
      <c r="C41" s="51"/>
      <c r="D41" s="13"/>
      <c r="E41" s="51"/>
      <c r="F41" s="51">
        <f t="shared" si="10"/>
        <v>19.333</v>
      </c>
      <c r="G41" s="51"/>
      <c r="H41" s="51"/>
      <c r="I41" s="51"/>
      <c r="J41" s="51"/>
      <c r="K41" s="13"/>
      <c r="L41" s="13"/>
      <c r="M41" s="13"/>
      <c r="N41" s="13"/>
      <c r="O41" s="13"/>
      <c r="P41" s="13"/>
      <c r="Q41" s="52">
        <f t="shared" si="11"/>
        <v>14.41</v>
      </c>
    </row>
    <row r="42">
      <c r="F42" s="51">
        <f t="shared" si="10"/>
        <v>0</v>
      </c>
      <c r="Q42" s="52">
        <f t="shared" si="11"/>
        <v>1.65</v>
      </c>
    </row>
    <row r="43">
      <c r="F43" s="51">
        <f t="shared" si="10"/>
        <v>0.5</v>
      </c>
      <c r="Q43" s="52">
        <f t="shared" si="11"/>
        <v>6.75</v>
      </c>
    </row>
    <row r="44">
      <c r="F44" s="51">
        <f t="shared" si="10"/>
        <v>10.333</v>
      </c>
      <c r="Q44" s="52">
        <f t="shared" si="11"/>
        <v>4.63</v>
      </c>
    </row>
    <row r="45">
      <c r="F45" s="51">
        <f t="shared" si="10"/>
        <v>0</v>
      </c>
      <c r="Q45" s="52">
        <f t="shared" si="11"/>
        <v>0.78</v>
      </c>
    </row>
    <row r="46">
      <c r="F46" s="51">
        <f t="shared" si="10"/>
        <v>4.333</v>
      </c>
      <c r="Q46" s="52">
        <f t="shared" si="11"/>
        <v>1.39</v>
      </c>
    </row>
    <row r="47">
      <c r="F47" s="51">
        <f t="shared" si="10"/>
        <v>10.167</v>
      </c>
      <c r="Q47" s="52">
        <f t="shared" si="11"/>
        <v>8.75</v>
      </c>
    </row>
    <row r="48">
      <c r="F48" s="51">
        <f t="shared" si="10"/>
        <v>3.333</v>
      </c>
      <c r="Q48" s="52">
        <f t="shared" si="11"/>
        <v>0</v>
      </c>
    </row>
    <row r="49">
      <c r="F49" s="51">
        <f t="shared" si="10"/>
        <v>8.667</v>
      </c>
      <c r="Q49" s="52">
        <f t="shared" si="11"/>
        <v>4.07</v>
      </c>
    </row>
    <row r="50">
      <c r="F50" s="51">
        <f t="shared" si="10"/>
        <v>13.333</v>
      </c>
      <c r="Q50" s="52">
        <f t="shared" si="11"/>
        <v>5.5</v>
      </c>
    </row>
    <row r="51">
      <c r="F51" s="51">
        <f t="shared" si="10"/>
        <v>14.333</v>
      </c>
      <c r="Q51" s="52">
        <f t="shared" si="11"/>
        <v>4.35</v>
      </c>
    </row>
    <row r="52">
      <c r="F52" s="51">
        <f t="shared" si="10"/>
        <v>2</v>
      </c>
      <c r="Q52" s="52">
        <f t="shared" si="11"/>
        <v>1.45</v>
      </c>
    </row>
    <row r="53">
      <c r="F53" s="51">
        <f t="shared" si="10"/>
        <v>19.333</v>
      </c>
      <c r="Q53" s="52">
        <f t="shared" si="11"/>
        <v>4.17</v>
      </c>
    </row>
    <row r="54">
      <c r="F54" s="51">
        <f t="shared" si="10"/>
        <v>14.333</v>
      </c>
      <c r="Q54" s="52">
        <f t="shared" si="11"/>
        <v>1.83</v>
      </c>
    </row>
    <row r="55">
      <c r="F55" s="51">
        <f t="shared" si="10"/>
        <v>8.5</v>
      </c>
      <c r="Q55" s="52">
        <f t="shared" si="11"/>
        <v>2.22</v>
      </c>
    </row>
    <row r="56">
      <c r="F56" s="51">
        <f t="shared" si="10"/>
        <v>0</v>
      </c>
      <c r="Q56" s="52">
        <f t="shared" si="11"/>
        <v>0.74</v>
      </c>
    </row>
    <row r="57">
      <c r="F57" s="51">
        <f t="shared" si="10"/>
        <v>20</v>
      </c>
      <c r="Q57" s="52">
        <f t="shared" si="11"/>
        <v>16</v>
      </c>
    </row>
    <row r="58">
      <c r="F58" s="51">
        <f t="shared" si="10"/>
        <v>17.333</v>
      </c>
      <c r="Q58" s="52">
        <f t="shared" si="11"/>
        <v>6.07</v>
      </c>
    </row>
    <row r="59">
      <c r="F59" s="51">
        <f t="shared" si="10"/>
        <v>20</v>
      </c>
      <c r="Q59" s="52">
        <f t="shared" si="11"/>
        <v>7.56</v>
      </c>
    </row>
    <row r="60">
      <c r="F60" s="51">
        <f t="shared" si="10"/>
        <v>12.667</v>
      </c>
      <c r="Q60" s="52">
        <f t="shared" si="11"/>
        <v>8</v>
      </c>
    </row>
    <row r="61">
      <c r="F61" s="51">
        <f t="shared" si="10"/>
        <v>17.667</v>
      </c>
      <c r="Q61" s="52">
        <f t="shared" si="11"/>
        <v>16.75</v>
      </c>
    </row>
    <row r="62">
      <c r="F62" s="51">
        <f t="shared" si="10"/>
        <v>0</v>
      </c>
      <c r="Q62" s="52">
        <f t="shared" si="11"/>
        <v>-26</v>
      </c>
    </row>
    <row r="63">
      <c r="F63" s="51">
        <f t="shared" si="10"/>
        <v>13.833</v>
      </c>
      <c r="Q63" s="52">
        <f t="shared" si="11"/>
        <v>7.75</v>
      </c>
    </row>
    <row r="64">
      <c r="F64" s="51">
        <f t="shared" si="10"/>
        <v>8</v>
      </c>
      <c r="Q64" s="52">
        <f t="shared" si="11"/>
        <v>-26</v>
      </c>
    </row>
    <row r="65">
      <c r="F65" s="51">
        <f t="shared" si="10"/>
        <v>10</v>
      </c>
      <c r="Q65" s="52">
        <f t="shared" si="11"/>
        <v>4.81</v>
      </c>
    </row>
  </sheetData>
  <mergeCells count="2">
    <mergeCell ref="K2:P2"/>
    <mergeCell ref="S2:X2"/>
  </mergeCells>
  <dataValidations>
    <dataValidation type="decimal" operator="greaterThanOrEqual" allowBlank="1" showDropDown="1" showInputMessage="1" prompt="Enter a number greater than or equal to 0" sqref="AA2:AD2">
      <formula1>0.0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hidden="1" min="3" max="18" width="12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 t="s">
        <v>5</v>
      </c>
      <c r="W6" s="3" t="s">
        <v>6</v>
      </c>
      <c r="X6" s="3"/>
      <c r="Y6" s="3"/>
    </row>
    <row r="7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6">
        <v>46183.0</v>
      </c>
      <c r="G7" s="6">
        <v>46188.0</v>
      </c>
      <c r="H7" s="6">
        <v>46190.0</v>
      </c>
      <c r="I7" s="6">
        <v>46195.0</v>
      </c>
      <c r="J7" s="6">
        <v>46197.0</v>
      </c>
      <c r="K7" s="6">
        <v>46202.0</v>
      </c>
      <c r="L7" s="6">
        <v>46204.0</v>
      </c>
      <c r="M7" s="6">
        <v>46209.0</v>
      </c>
      <c r="N7" s="6">
        <v>46211.0</v>
      </c>
      <c r="O7" s="6">
        <v>46216.0</v>
      </c>
      <c r="P7" s="6">
        <v>46218.0</v>
      </c>
      <c r="Q7" s="6">
        <v>46223.0</v>
      </c>
      <c r="R7" s="6">
        <v>46225.0</v>
      </c>
      <c r="S7" s="8">
        <v>46237.0</v>
      </c>
      <c r="T7" s="8">
        <v>46243.0</v>
      </c>
      <c r="U7" s="9">
        <v>46244.0</v>
      </c>
      <c r="V7" s="8">
        <v>46251.0</v>
      </c>
      <c r="W7" s="8">
        <v>46253.0</v>
      </c>
      <c r="X7" s="8">
        <v>46258.0</v>
      </c>
      <c r="Y7" s="8">
        <v>46265.0</v>
      </c>
      <c r="Z7" s="10">
        <v>46272.0</v>
      </c>
    </row>
    <row r="8">
      <c r="A8" s="11">
        <v>1.000054024E9</v>
      </c>
      <c r="B8" s="11" t="s">
        <v>12</v>
      </c>
      <c r="C8" s="11" t="s">
        <v>13</v>
      </c>
      <c r="D8" s="11" t="s">
        <v>14</v>
      </c>
      <c r="E8" s="17">
        <f>+8801752978569</f>
        <v>8801752978569</v>
      </c>
      <c r="S8" s="18">
        <v>1.0</v>
      </c>
      <c r="T8" s="18">
        <v>1.0</v>
      </c>
      <c r="U8" s="18">
        <v>1.0</v>
      </c>
      <c r="W8" s="19">
        <v>1.0</v>
      </c>
      <c r="X8" s="18">
        <v>1.0</v>
      </c>
      <c r="Y8" s="18">
        <v>1.0</v>
      </c>
    </row>
    <row r="9">
      <c r="A9" s="11">
        <v>1.000054032E9</v>
      </c>
      <c r="B9" s="11" t="s">
        <v>17</v>
      </c>
      <c r="C9" s="11" t="s">
        <v>13</v>
      </c>
      <c r="D9" s="11" t="s">
        <v>18</v>
      </c>
      <c r="E9" s="17">
        <f>+8801678662239</f>
        <v>8801678662239</v>
      </c>
      <c r="S9" s="18">
        <v>1.0</v>
      </c>
      <c r="T9" s="18">
        <v>1.0</v>
      </c>
      <c r="U9" s="18">
        <v>1.0</v>
      </c>
      <c r="W9" s="19">
        <v>1.0</v>
      </c>
      <c r="X9" s="18">
        <v>1.0</v>
      </c>
      <c r="Y9" s="18">
        <v>1.0</v>
      </c>
    </row>
    <row r="10">
      <c r="A10" s="11">
        <v>1.000054079E9</v>
      </c>
      <c r="B10" s="11" t="s">
        <v>19</v>
      </c>
      <c r="C10" s="11" t="s">
        <v>13</v>
      </c>
      <c r="D10" s="11" t="s">
        <v>20</v>
      </c>
      <c r="E10" s="17">
        <f>+8801308950608</f>
        <v>8801308950608</v>
      </c>
      <c r="S10" s="18">
        <v>1.0</v>
      </c>
      <c r="T10" s="18">
        <v>1.0</v>
      </c>
      <c r="U10" s="18">
        <v>1.0</v>
      </c>
      <c r="W10" s="19">
        <v>1.0</v>
      </c>
      <c r="X10" s="18">
        <v>1.0</v>
      </c>
      <c r="Y10" s="18">
        <v>1.0</v>
      </c>
    </row>
    <row r="11">
      <c r="A11" s="11">
        <v>1.000054339E9</v>
      </c>
      <c r="B11" s="11" t="s">
        <v>25</v>
      </c>
      <c r="C11" s="11" t="s">
        <v>13</v>
      </c>
      <c r="D11" s="11" t="s">
        <v>26</v>
      </c>
      <c r="E11" s="17">
        <f>+8801537554286</f>
        <v>8801537554286</v>
      </c>
      <c r="S11" s="18">
        <v>1.0</v>
      </c>
      <c r="T11" s="18">
        <v>0.0</v>
      </c>
      <c r="U11" s="18">
        <v>0.0</v>
      </c>
      <c r="W11" s="19">
        <v>1.0</v>
      </c>
      <c r="X11" s="18">
        <v>1.0</v>
      </c>
      <c r="Y11" s="18">
        <v>1.0</v>
      </c>
    </row>
    <row r="12">
      <c r="A12" s="11">
        <v>1.000054764E9</v>
      </c>
      <c r="B12" s="11" t="s">
        <v>33</v>
      </c>
      <c r="C12" s="11" t="s">
        <v>13</v>
      </c>
      <c r="D12" s="11" t="s">
        <v>36</v>
      </c>
      <c r="E12" s="17">
        <f>+8801917402046</f>
        <v>8801917402046</v>
      </c>
      <c r="S12" s="18">
        <v>1.0</v>
      </c>
      <c r="T12" s="18">
        <v>0.0</v>
      </c>
      <c r="U12" s="18">
        <v>1.0</v>
      </c>
      <c r="W12" s="19">
        <v>1.0</v>
      </c>
      <c r="X12" s="18">
        <v>1.0</v>
      </c>
      <c r="Y12" s="18">
        <v>1.0</v>
      </c>
    </row>
    <row r="13">
      <c r="A13" s="11">
        <v>1.000054805E9</v>
      </c>
      <c r="B13" s="11" t="s">
        <v>47</v>
      </c>
      <c r="C13" s="11" t="s">
        <v>13</v>
      </c>
      <c r="D13" s="11" t="s">
        <v>49</v>
      </c>
      <c r="E13" s="17">
        <f>+8801521202876</f>
        <v>8801521202876</v>
      </c>
      <c r="S13" s="18">
        <v>1.0</v>
      </c>
      <c r="T13" s="18">
        <v>0.0</v>
      </c>
      <c r="U13" s="18">
        <v>1.0</v>
      </c>
      <c r="W13" s="19">
        <v>1.0</v>
      </c>
      <c r="X13" s="18">
        <v>1.0</v>
      </c>
      <c r="Y13" s="18">
        <v>1.0</v>
      </c>
    </row>
    <row r="14">
      <c r="A14" s="11">
        <v>1.000054826E9</v>
      </c>
      <c r="B14" s="11" t="s">
        <v>55</v>
      </c>
      <c r="C14" s="11" t="s">
        <v>13</v>
      </c>
      <c r="D14" s="11" t="s">
        <v>56</v>
      </c>
      <c r="E14" s="17">
        <f>+8801882214306</f>
        <v>8801882214306</v>
      </c>
      <c r="S14" s="18">
        <v>1.0</v>
      </c>
      <c r="T14" s="18">
        <v>0.0</v>
      </c>
      <c r="U14" s="18">
        <v>1.0</v>
      </c>
      <c r="W14" s="19">
        <v>1.0</v>
      </c>
      <c r="X14" s="18">
        <v>1.0</v>
      </c>
      <c r="Y14" s="18">
        <v>1.0</v>
      </c>
    </row>
    <row r="15">
      <c r="A15" s="11">
        <v>1.000054866E9</v>
      </c>
      <c r="B15" s="11" t="s">
        <v>57</v>
      </c>
      <c r="C15" s="11" t="s">
        <v>13</v>
      </c>
      <c r="D15" s="11" t="s">
        <v>58</v>
      </c>
      <c r="E15" s="17">
        <f>+8801762140958</f>
        <v>8801762140958</v>
      </c>
      <c r="S15" s="18">
        <v>1.0</v>
      </c>
      <c r="T15" s="18">
        <v>0.0</v>
      </c>
      <c r="U15" s="18">
        <v>0.0</v>
      </c>
      <c r="W15" s="19">
        <v>0.0</v>
      </c>
      <c r="X15" s="18">
        <v>1.0</v>
      </c>
      <c r="Y15" s="18">
        <v>0.0</v>
      </c>
    </row>
    <row r="16">
      <c r="A16" s="11">
        <v>2.1201403E7</v>
      </c>
      <c r="B16" s="11" t="s">
        <v>59</v>
      </c>
      <c r="C16" s="11" t="s">
        <v>13</v>
      </c>
      <c r="D16" s="11" t="s">
        <v>60</v>
      </c>
      <c r="E16" s="17">
        <f>+8801726617627</f>
        <v>8801726617627</v>
      </c>
      <c r="S16" s="18">
        <v>1.0</v>
      </c>
      <c r="T16" s="18">
        <v>0.0</v>
      </c>
      <c r="U16" s="18">
        <v>0.0</v>
      </c>
      <c r="W16" s="19">
        <v>0.0</v>
      </c>
      <c r="X16" s="18">
        <v>1.0</v>
      </c>
      <c r="Y16" s="18">
        <v>1.0</v>
      </c>
    </row>
    <row r="17">
      <c r="A17" s="11">
        <v>2.2101748E7</v>
      </c>
      <c r="B17" s="11" t="s">
        <v>61</v>
      </c>
      <c r="C17" s="11" t="s">
        <v>13</v>
      </c>
      <c r="D17" s="11" t="s">
        <v>62</v>
      </c>
      <c r="E17" s="11">
        <v>1.566086142E9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>
        <v>1.0</v>
      </c>
      <c r="T17" s="18">
        <v>1.0</v>
      </c>
      <c r="U17" s="18">
        <v>0.0</v>
      </c>
      <c r="W17" s="19">
        <v>1.0</v>
      </c>
      <c r="X17" s="18">
        <v>0.0</v>
      </c>
      <c r="Y17" s="18">
        <v>1.0</v>
      </c>
    </row>
    <row r="18">
      <c r="A18" s="11">
        <v>2.2201135E7</v>
      </c>
      <c r="B18" s="11" t="s">
        <v>63</v>
      </c>
      <c r="C18" s="11" t="s">
        <v>13</v>
      </c>
      <c r="D18" s="11" t="s">
        <v>64</v>
      </c>
      <c r="E18" s="11">
        <v>1.876596696E9</v>
      </c>
      <c r="S18" s="18">
        <v>1.0</v>
      </c>
      <c r="T18" s="18">
        <v>0.0</v>
      </c>
      <c r="U18" s="18">
        <v>1.0</v>
      </c>
      <c r="W18" s="19">
        <v>0.0</v>
      </c>
      <c r="X18" s="18">
        <v>0.0</v>
      </c>
      <c r="Y18" s="18">
        <v>0.0</v>
      </c>
    </row>
    <row r="19">
      <c r="A19" s="11">
        <v>2.2201645E7</v>
      </c>
      <c r="B19" s="11" t="s">
        <v>65</v>
      </c>
      <c r="C19" s="11" t="s">
        <v>66</v>
      </c>
      <c r="D19" s="11" t="s">
        <v>67</v>
      </c>
      <c r="E19" s="17">
        <f>+8801978877341</f>
        <v>8801978877341</v>
      </c>
      <c r="S19" s="18">
        <v>1.0</v>
      </c>
      <c r="T19" s="18">
        <v>1.0</v>
      </c>
      <c r="U19" s="18">
        <v>0.0</v>
      </c>
      <c r="W19" s="19">
        <v>0.0</v>
      </c>
      <c r="X19" s="18">
        <v>0.0</v>
      </c>
      <c r="Y19" s="18">
        <v>0.0</v>
      </c>
    </row>
    <row r="20">
      <c r="A20" s="11">
        <v>2.2201661E7</v>
      </c>
      <c r="B20" s="11" t="s">
        <v>68</v>
      </c>
      <c r="C20" s="11" t="s">
        <v>13</v>
      </c>
      <c r="D20" s="11" t="s">
        <v>69</v>
      </c>
      <c r="E20" s="11">
        <v>1.885550427E9</v>
      </c>
      <c r="S20" s="18">
        <v>1.0</v>
      </c>
      <c r="T20" s="18">
        <v>1.0</v>
      </c>
      <c r="U20" s="18">
        <v>1.0</v>
      </c>
      <c r="W20" s="19">
        <v>1.0</v>
      </c>
      <c r="X20" s="18">
        <v>1.0</v>
      </c>
      <c r="Y20" s="18">
        <v>0.0</v>
      </c>
    </row>
    <row r="21">
      <c r="A21" s="11">
        <v>2.2301015E7</v>
      </c>
      <c r="B21" s="11" t="s">
        <v>70</v>
      </c>
      <c r="C21" s="11" t="s">
        <v>66</v>
      </c>
      <c r="D21" s="11" t="s">
        <v>71</v>
      </c>
      <c r="E21" s="11">
        <v>1.971048669E9</v>
      </c>
      <c r="S21" s="18">
        <v>1.0</v>
      </c>
      <c r="T21" s="18">
        <v>0.0</v>
      </c>
      <c r="U21" s="18">
        <v>1.0</v>
      </c>
      <c r="W21" s="19">
        <v>1.0</v>
      </c>
      <c r="X21" s="18">
        <v>1.0</v>
      </c>
      <c r="Y21" s="18">
        <v>0.0</v>
      </c>
    </row>
    <row r="22">
      <c r="A22" s="32">
        <v>2.2301274E7</v>
      </c>
      <c r="B22" s="11" t="s">
        <v>72</v>
      </c>
      <c r="C22" s="11" t="s">
        <v>13</v>
      </c>
      <c r="D22" s="11" t="s">
        <v>73</v>
      </c>
      <c r="E22" s="11">
        <v>1.400350543E9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18">
        <v>0.0</v>
      </c>
      <c r="T22" s="18">
        <v>1.0</v>
      </c>
      <c r="U22" s="18">
        <v>1.0</v>
      </c>
      <c r="V22" s="33"/>
      <c r="W22" s="19">
        <v>0.0</v>
      </c>
      <c r="X22" s="18">
        <v>0.0</v>
      </c>
      <c r="Y22" s="18">
        <v>0.0</v>
      </c>
    </row>
    <row r="23">
      <c r="A23" s="11">
        <v>2.2301449E7</v>
      </c>
      <c r="B23" s="11" t="s">
        <v>74</v>
      </c>
      <c r="C23" s="11" t="s">
        <v>66</v>
      </c>
      <c r="D23" s="11" t="s">
        <v>75</v>
      </c>
      <c r="E23" s="11">
        <v>1.977667747E9</v>
      </c>
      <c r="S23" s="18">
        <v>1.0</v>
      </c>
      <c r="T23" s="18">
        <v>1.0</v>
      </c>
      <c r="U23" s="18">
        <v>0.0</v>
      </c>
      <c r="W23" s="19">
        <v>1.0</v>
      </c>
      <c r="X23" s="18">
        <v>0.0</v>
      </c>
      <c r="Y23" s="18">
        <v>0.0</v>
      </c>
    </row>
    <row r="24">
      <c r="A24" s="11">
        <v>2.3101287E7</v>
      </c>
      <c r="B24" s="11" t="s">
        <v>76</v>
      </c>
      <c r="C24" s="11" t="s">
        <v>13</v>
      </c>
      <c r="D24" s="11" t="s">
        <v>77</v>
      </c>
      <c r="E24" s="11">
        <v>1.782167794E9</v>
      </c>
      <c r="S24" s="18">
        <v>1.0</v>
      </c>
      <c r="T24" s="18">
        <v>1.0</v>
      </c>
      <c r="U24" s="18">
        <v>1.0</v>
      </c>
      <c r="W24" s="19">
        <v>1.0</v>
      </c>
      <c r="X24" s="18">
        <v>1.0</v>
      </c>
      <c r="Y24" s="18">
        <v>1.0</v>
      </c>
    </row>
    <row r="25">
      <c r="A25" s="11">
        <v>2.3201219E7</v>
      </c>
      <c r="B25" s="11" t="s">
        <v>78</v>
      </c>
      <c r="C25" s="11" t="s">
        <v>13</v>
      </c>
      <c r="D25" s="11" t="s">
        <v>79</v>
      </c>
      <c r="E25" s="11">
        <v>1.601815287E9</v>
      </c>
      <c r="S25" s="18">
        <v>1.0</v>
      </c>
      <c r="T25" s="18">
        <v>1.0</v>
      </c>
      <c r="U25" s="18">
        <v>1.0</v>
      </c>
      <c r="W25" s="19">
        <v>1.0</v>
      </c>
      <c r="X25" s="18">
        <v>0.0</v>
      </c>
      <c r="Y25" s="18">
        <v>0.0</v>
      </c>
    </row>
    <row r="26">
      <c r="A26" s="11">
        <v>2.3301571E7</v>
      </c>
      <c r="B26" s="11" t="s">
        <v>80</v>
      </c>
      <c r="C26" s="11" t="s">
        <v>66</v>
      </c>
      <c r="D26" s="11" t="s">
        <v>81</v>
      </c>
      <c r="E26" s="11">
        <v>8.801681531225E12</v>
      </c>
      <c r="S26" s="18">
        <v>1.0</v>
      </c>
      <c r="T26" s="18">
        <v>1.0</v>
      </c>
      <c r="U26" s="18">
        <v>1.0</v>
      </c>
      <c r="W26" s="19">
        <v>1.0</v>
      </c>
      <c r="X26" s="18">
        <v>1.0</v>
      </c>
      <c r="Y26" s="18">
        <v>1.0</v>
      </c>
    </row>
    <row r="27">
      <c r="A27" s="11">
        <v>2.4101109E7</v>
      </c>
      <c r="B27" s="11" t="s">
        <v>82</v>
      </c>
      <c r="C27" s="11" t="s">
        <v>13</v>
      </c>
      <c r="D27" s="11" t="s">
        <v>83</v>
      </c>
      <c r="E27" s="11">
        <v>1.313945321E9</v>
      </c>
      <c r="S27" s="18">
        <v>1.0</v>
      </c>
      <c r="T27" s="18">
        <v>0.0</v>
      </c>
      <c r="U27" s="18">
        <v>0.0</v>
      </c>
      <c r="W27" s="19">
        <v>1.0</v>
      </c>
      <c r="X27" s="18">
        <v>1.0</v>
      </c>
      <c r="Y27" s="18">
        <v>1.0</v>
      </c>
    </row>
    <row r="28">
      <c r="A28" s="11">
        <v>2.4101309E7</v>
      </c>
      <c r="B28" s="11" t="s">
        <v>84</v>
      </c>
      <c r="C28" s="11" t="s">
        <v>13</v>
      </c>
      <c r="D28" s="11" t="s">
        <v>85</v>
      </c>
      <c r="E28" s="11">
        <v>1.884448283E9</v>
      </c>
      <c r="S28" s="18">
        <v>1.0</v>
      </c>
      <c r="T28" s="18">
        <v>1.0</v>
      </c>
      <c r="U28" s="18">
        <v>1.0</v>
      </c>
      <c r="W28" s="19">
        <v>0.0</v>
      </c>
      <c r="X28" s="18">
        <v>1.0</v>
      </c>
      <c r="Y28" s="18">
        <v>0.0</v>
      </c>
    </row>
    <row r="29">
      <c r="A29" s="11">
        <v>2.4141155E7</v>
      </c>
      <c r="B29" s="11" t="s">
        <v>86</v>
      </c>
      <c r="C29" s="11" t="s">
        <v>66</v>
      </c>
      <c r="D29" s="11" t="s">
        <v>87</v>
      </c>
      <c r="E29" s="11">
        <v>1.786820409E9</v>
      </c>
      <c r="S29" s="18">
        <v>1.0</v>
      </c>
      <c r="T29" s="18">
        <v>1.0</v>
      </c>
      <c r="U29" s="18">
        <v>0.0</v>
      </c>
      <c r="W29" s="19">
        <v>0.0</v>
      </c>
      <c r="X29" s="18">
        <v>1.0</v>
      </c>
      <c r="Y29" s="18">
        <v>1.0</v>
      </c>
    </row>
    <row r="30">
      <c r="A30" s="11">
        <v>2.4201111E7</v>
      </c>
      <c r="B30" s="11" t="s">
        <v>88</v>
      </c>
      <c r="C30" s="11" t="s">
        <v>13</v>
      </c>
      <c r="D30" s="11" t="s">
        <v>89</v>
      </c>
      <c r="E30" s="11">
        <v>1.60890117E9</v>
      </c>
      <c r="S30" s="18">
        <v>1.0</v>
      </c>
      <c r="T30" s="18">
        <v>1.0</v>
      </c>
      <c r="U30" s="18">
        <v>1.0</v>
      </c>
      <c r="W30" s="19">
        <v>1.0</v>
      </c>
      <c r="X30" s="18">
        <v>1.0</v>
      </c>
      <c r="Y30" s="18">
        <v>1.0</v>
      </c>
    </row>
    <row r="31">
      <c r="A31" s="11">
        <v>2.4201192E7</v>
      </c>
      <c r="B31" s="11" t="s">
        <v>90</v>
      </c>
      <c r="C31" s="11" t="s">
        <v>13</v>
      </c>
      <c r="D31" s="11" t="s">
        <v>91</v>
      </c>
      <c r="E31" s="11">
        <v>1.745780696E9</v>
      </c>
      <c r="S31" s="18">
        <v>1.0</v>
      </c>
      <c r="T31" s="18">
        <v>1.0</v>
      </c>
      <c r="U31" s="18">
        <v>1.0</v>
      </c>
      <c r="W31" s="19">
        <v>1.0</v>
      </c>
      <c r="X31" s="18">
        <v>0.0</v>
      </c>
      <c r="Y31" s="18">
        <v>1.0</v>
      </c>
    </row>
    <row r="32">
      <c r="A32" s="11">
        <v>2.4201208E7</v>
      </c>
      <c r="B32" s="11" t="s">
        <v>92</v>
      </c>
      <c r="C32" s="11" t="s">
        <v>13</v>
      </c>
      <c r="D32" s="11" t="s">
        <v>93</v>
      </c>
      <c r="E32" s="11">
        <v>1.850521479E9</v>
      </c>
      <c r="S32" s="18">
        <v>1.0</v>
      </c>
      <c r="T32" s="18">
        <v>1.0</v>
      </c>
      <c r="U32" s="18">
        <v>1.0</v>
      </c>
      <c r="W32" s="19">
        <v>1.0</v>
      </c>
      <c r="X32" s="18">
        <v>0.0</v>
      </c>
      <c r="Y32" s="18">
        <v>1.0</v>
      </c>
    </row>
    <row r="33">
      <c r="A33" s="11">
        <v>2.4201304E7</v>
      </c>
      <c r="B33" s="11" t="s">
        <v>94</v>
      </c>
      <c r="C33" s="11" t="s">
        <v>13</v>
      </c>
      <c r="D33" s="11" t="s">
        <v>95</v>
      </c>
      <c r="E33" s="11">
        <v>1.923688829E9</v>
      </c>
      <c r="S33" s="18">
        <v>1.0</v>
      </c>
      <c r="T33" s="18">
        <v>1.0</v>
      </c>
      <c r="U33" s="18">
        <v>0.0</v>
      </c>
      <c r="W33" s="19">
        <v>1.0</v>
      </c>
      <c r="X33" s="18">
        <v>1.0</v>
      </c>
      <c r="Y33" s="18">
        <v>1.0</v>
      </c>
    </row>
    <row r="34">
      <c r="A34" s="11">
        <v>2.4241028E7</v>
      </c>
      <c r="B34" s="11" t="s">
        <v>96</v>
      </c>
      <c r="C34" s="11" t="s">
        <v>66</v>
      </c>
      <c r="D34" s="11" t="s">
        <v>97</v>
      </c>
      <c r="E34" s="11">
        <v>1.608883093E9</v>
      </c>
      <c r="S34" s="18">
        <v>1.0</v>
      </c>
      <c r="T34" s="18">
        <v>1.0</v>
      </c>
      <c r="U34" s="18">
        <v>1.0</v>
      </c>
      <c r="W34" s="19">
        <v>1.0</v>
      </c>
      <c r="X34" s="18">
        <v>1.0</v>
      </c>
      <c r="Y34" s="18">
        <v>1.0</v>
      </c>
    </row>
    <row r="35">
      <c r="A35" s="11">
        <v>2.4301041E7</v>
      </c>
      <c r="B35" s="11" t="s">
        <v>98</v>
      </c>
      <c r="C35" s="11" t="s">
        <v>66</v>
      </c>
      <c r="D35" s="11" t="s">
        <v>99</v>
      </c>
      <c r="E35" s="11">
        <v>1.708919475E9</v>
      </c>
      <c r="S35" s="18">
        <v>1.0</v>
      </c>
      <c r="T35" s="18">
        <v>0.0</v>
      </c>
      <c r="U35" s="18">
        <v>0.0</v>
      </c>
      <c r="W35" s="19">
        <v>0.0</v>
      </c>
      <c r="X35" s="18">
        <v>0.0</v>
      </c>
      <c r="Y35" s="18">
        <v>0.0</v>
      </c>
    </row>
    <row r="36">
      <c r="A36" s="11">
        <v>2.4301101E7</v>
      </c>
      <c r="B36" s="11" t="s">
        <v>100</v>
      </c>
      <c r="C36" s="11" t="s">
        <v>13</v>
      </c>
      <c r="D36" s="11" t="s">
        <v>101</v>
      </c>
      <c r="E36" s="11">
        <v>1.531181894E9</v>
      </c>
      <c r="S36" s="18">
        <v>1.0</v>
      </c>
      <c r="T36" s="18">
        <v>1.0</v>
      </c>
      <c r="U36" s="18">
        <v>1.0</v>
      </c>
      <c r="W36" s="19">
        <v>1.0</v>
      </c>
      <c r="X36" s="18">
        <v>1.0</v>
      </c>
      <c r="Y36" s="18">
        <v>1.0</v>
      </c>
    </row>
    <row r="37">
      <c r="A37" s="11">
        <v>2.4301103E7</v>
      </c>
      <c r="B37" s="11" t="s">
        <v>102</v>
      </c>
      <c r="C37" s="11" t="s">
        <v>13</v>
      </c>
      <c r="D37" s="11" t="s">
        <v>103</v>
      </c>
      <c r="E37" s="11">
        <v>1.763763874E9</v>
      </c>
      <c r="S37" s="18">
        <v>1.0</v>
      </c>
      <c r="T37" s="18">
        <v>0.0</v>
      </c>
      <c r="U37" s="18">
        <v>0.0</v>
      </c>
      <c r="W37" s="19">
        <v>0.0</v>
      </c>
      <c r="X37" s="18">
        <v>0.0</v>
      </c>
      <c r="Y37" s="18">
        <v>0.0</v>
      </c>
    </row>
    <row r="38">
      <c r="A38" s="11">
        <v>2.4341054E7</v>
      </c>
      <c r="B38" s="11" t="s">
        <v>104</v>
      </c>
      <c r="C38" s="11" t="s">
        <v>66</v>
      </c>
      <c r="D38" s="11" t="s">
        <v>105</v>
      </c>
      <c r="E38" s="11">
        <v>1.845787804E9</v>
      </c>
      <c r="S38" s="18">
        <v>1.0</v>
      </c>
      <c r="T38" s="18">
        <v>0.0</v>
      </c>
      <c r="U38" s="18">
        <v>0.0</v>
      </c>
      <c r="W38" s="19">
        <v>0.0</v>
      </c>
      <c r="X38" s="18">
        <v>0.0</v>
      </c>
      <c r="Y38" s="18">
        <v>0.0</v>
      </c>
    </row>
    <row r="39">
      <c r="A39" s="36"/>
      <c r="B39" s="36"/>
      <c r="C39" s="36"/>
      <c r="D39" s="36"/>
      <c r="E39" s="36"/>
    </row>
  </sheetData>
  <mergeCells count="6">
    <mergeCell ref="A1:E1"/>
    <mergeCell ref="A2:E2"/>
    <mergeCell ref="A3:E3"/>
    <mergeCell ref="A4:E4"/>
    <mergeCell ref="A5:E5"/>
    <mergeCell ref="A6:E6"/>
  </mergeCells>
  <drawing r:id="rId1"/>
</worksheet>
</file>