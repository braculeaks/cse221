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<sst xmlns="http://schemas.openxmlformats.org/spreadsheetml/2006/main" count="10" uniqueCount="10">
  <si>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</si>
  <si>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</si>
  <si>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</si>
  <si>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</si>
  <si>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</si>
  <si>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</si>
  <si>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</si>
  <si>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</si>
  <si>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19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</si>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</sst>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13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""'""),choosecols(rng,sequence(1,columns(rng)-1,2,1)))"),"22101598")</f>
        <v>22101598</v>
      </c>
      <c r="B3" s="3">
        <f>IFERROR(__xludf.DUMMYFUNCTION("""COMPUTED_VALUE"""),5.0)</f>
        <v>5</v>
      </c>
      <c r="C3" s="3">
        <f>IFERROR(__xludf.DUMMYFUNCTION("""COMPUTED_VALUE"""),0.0)</f>
        <v>0</v>
      </c>
      <c r="D3" s="3">
        <f>IFERROR(__xludf.DUMMYFUNCTION("""COMPUTED_VALUE"""),5.0)</f>
        <v>5</v>
      </c>
      <c r="E3" s="3">
        <f>IFERROR(__xludf.DUMMYFUNCTION("""COMPUTED_VALUE"""),0.0)</f>
        <v>0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IFERROR(__xludf.DUMMYFUNCTION("""COMPUTED_VALUE"""),6.0)</f>
        <v>6</v>
      </c>
      <c r="K3" s="3">
        <f>IFERROR(__xludf.DUMMYFUNCTION("""COMPUTED_VALUE"""),7.0)</f>
        <v>7</v>
      </c>
      <c r="L3" s="3">
        <f>IFERROR(__xludf.DUMMYFUNCTION("""COMPUTED_VALUE"""),8.0)</f>
        <v>8</v>
      </c>
      <c r="M3" s="3">
        <f>IFERROR(__xludf.DUMMYFUNCTION("""COMPUTED_VALUE"""),8.0)</f>
        <v>8</v>
      </c>
      <c r="N3" s="3">
        <f>IFERROR(__xludf.DUMMYFUNCTION("""COMPUTED_VALUE"""),8.0)</f>
        <v>8</v>
      </c>
      <c r="O3" s="3">
        <f>IFERROR(__xludf.DUMMYFUNCTION("""COMPUTED_VALUE"""),8.0)</f>
        <v>8</v>
      </c>
      <c r="P3" s="3">
        <f>IFERROR(__xludf.DUMMYFUNCTION("""COMPUTED_VALUE"""),6.0)</f>
        <v>6</v>
      </c>
      <c r="Q3" s="3">
        <f>IFERROR(__xludf.DUMMYFUNCTION("""COMPUTED_VALUE"""),7.0)</f>
        <v>7</v>
      </c>
      <c r="R3" s="3"/>
      <c r="S3" s="3"/>
      <c r="T3" s="3">
        <f>IFERROR(__xludf.DUMMYFUNCTION("""COMPUTED_VALUE"""),0.0)</f>
        <v>0</v>
      </c>
      <c r="U3" s="3">
        <f>IFERROR(__xludf.DUMMYFUNCTION("""COMPUTED_VALUE"""),0.0)</f>
        <v>0</v>
      </c>
      <c r="V3" s="3"/>
      <c r="W3" s="3"/>
      <c r="X3" s="3">
        <f>IFERROR(__xludf.DUMMYFUNCTION("""COMPUTED_VALUE"""),0.0)</f>
        <v>0</v>
      </c>
      <c r="Y3" s="3"/>
      <c r="Z3" s="3"/>
      <c r="AA3" s="3"/>
      <c r="AB3" s="3">
        <f>IFERROR(__xludf.DUMMYFUNCTION("""COMPUTED_VALUE"""),0.0)</f>
        <v>0</v>
      </c>
      <c r="AC3" s="3"/>
      <c r="AD3" s="3">
        <f>IFERROR(__xludf.DUMMYFUNCTION("""COMPUTED_VALUE"""),0.0)</f>
        <v>0</v>
      </c>
      <c r="AE3" s="3"/>
      <c r="AF3" s="3"/>
      <c r="AG3" s="3"/>
      <c r="AH3" s="3">
        <f>IFERROR(__xludf.DUMMYFUNCTION("""COMPUTED_VALUE"""),0.0)</f>
        <v>0</v>
      </c>
      <c r="AI3" s="3"/>
      <c r="AJ3" s="3"/>
      <c r="AK3" s="3">
        <f>IFERROR(__xludf.DUMMYFUNCTION("""COMPUTED_VALUE"""),0.0)</f>
        <v>0</v>
      </c>
      <c r="AL3" s="3"/>
      <c r="AM3" s="3"/>
      <c r="AN3" s="3"/>
      <c r="AO3" s="3"/>
      <c r="AP3" s="3">
        <f>IFERROR(__xludf.DUMMYFUNCTION("""COMPUTED_VALUE"""),0.0)</f>
        <v>0</v>
      </c>
      <c r="AQ3" s="3"/>
      <c r="AR3" s="3">
        <f>IFERROR(__xludf.DUMMYFUNCTION("""COMPUTED_VALUE"""),0.0)</f>
        <v>0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IFERROR(__xludf.DUMMYFUNCTION("""COMPUTED_VALUE"""),"22341014")</f>
        <v>22341014</v>
      </c>
      <c r="B4" s="3">
        <f>IFERROR(__xludf.DUMMYFUNCTION("""COMPUTED_VALUE"""),0.0)</f>
        <v>0</v>
      </c>
      <c r="C4" s="3">
        <f>IFERROR(__xludf.DUMMYFUNCTION("""COMPUTED_VALUE"""),0.0)</f>
        <v>0</v>
      </c>
      <c r="D4" s="3">
        <f>IFERROR(__xludf.DUMMYFUNCTION("""COMPUTED_VALUE"""),0.0)</f>
        <v>0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IFERROR(__xludf.DUMMYFUNCTION("""COMPUTED_VALUE"""),"23101034")</f>
        <v>23101034</v>
      </c>
      <c r="B5" s="3">
        <f>IFERROR(__xludf.DUMMYFUNCTION("""COMPUTED_VALUE"""),4.339622641509434)</f>
        <v>4.339622642</v>
      </c>
      <c r="C5" s="3">
        <f>IFERROR(__xludf.DUMMYFUNCTION("""COMPUTED_VALUE"""),0.0)</f>
        <v>0</v>
      </c>
      <c r="D5" s="3">
        <f>IFERROR(__xludf.DUMMYFUNCTION("""COMPUTED_VALUE"""),4.339622641509434)</f>
        <v>4.339622642</v>
      </c>
      <c r="E5" s="3">
        <f>IFERROR(__xludf.DUMMYFUNCTION("""COMPUTED_VALUE"""),0.0)</f>
        <v>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IFERROR(__xludf.DUMMYFUNCTION("""COMPUTED_VALUE"""),0.0)</f>
        <v>0</v>
      </c>
      <c r="I5" s="3">
        <f>IFERROR(__xludf.DUMMYFUNCTION("""COMPUTED_VALUE"""),0.0)</f>
        <v>0</v>
      </c>
      <c r="J5" s="3">
        <f>IFERROR(__xludf.DUMMYFUNCTION("""COMPUTED_VALUE"""),5.0)</f>
        <v>5</v>
      </c>
      <c r="K5" s="3">
        <f>IFERROR(__xludf.DUMMYFUNCTION("""COMPUTED_VALUE"""),7.0)</f>
        <v>7</v>
      </c>
      <c r="L5" s="3">
        <f>IFERROR(__xludf.DUMMYFUNCTION("""COMPUTED_VALUE"""),5.0)</f>
        <v>5</v>
      </c>
      <c r="M5" s="3">
        <f>IFERROR(__xludf.DUMMYFUNCTION("""COMPUTED_VALUE"""),8.0)</f>
        <v>8</v>
      </c>
      <c r="N5" s="3">
        <f>IFERROR(__xludf.DUMMYFUNCTION("""COMPUTED_VALUE"""),8.0)</f>
        <v>8</v>
      </c>
      <c r="O5" s="3">
        <f>IFERROR(__xludf.DUMMYFUNCTION("""COMPUTED_VALUE"""),7.0)</f>
        <v>7</v>
      </c>
      <c r="P5" s="3">
        <f>IFERROR(__xludf.DUMMYFUNCTION("""COMPUTED_VALUE"""),6.0)</f>
        <v>6</v>
      </c>
      <c r="Q5" s="3">
        <f>IFERROR(__xludf.DUMMYFUNCTION("""COMPUTED_VALUE"""),0.0)</f>
        <v>0</v>
      </c>
      <c r="R5" s="3"/>
      <c r="S5" s="3"/>
      <c r="T5" s="3"/>
      <c r="U5" s="3"/>
      <c r="V5" s="3"/>
      <c r="W5" s="3"/>
      <c r="X5" s="3">
        <f>IFERROR(__xludf.DUMMYFUNCTION("""COMPUTED_VALUE"""),0.0)</f>
        <v>0</v>
      </c>
      <c r="Y5" s="3"/>
      <c r="Z5" s="3"/>
      <c r="AA5" s="3"/>
      <c r="AB5" s="3">
        <f>IFERROR(__xludf.DUMMYFUNCTION("""COMPUTED_VALUE"""),0.0)</f>
        <v>0</v>
      </c>
      <c r="AC5" s="3"/>
      <c r="AD5" s="3">
        <f>IFERROR(__xludf.DUMMYFUNCTION("""COMPUTED_VALUE"""),0.0)</f>
        <v>0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>
        <f>IFERROR(__xludf.DUMMYFUNCTION("""COMPUTED_VALUE"""),0.0)</f>
        <v>0</v>
      </c>
      <c r="AQ5" s="3"/>
      <c r="AR5" s="3">
        <f>IFERROR(__xludf.DUMMYFUNCTION("""COMPUTED_VALUE"""),0.0)</f>
        <v>0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IFERROR(__xludf.DUMMYFUNCTION("""COMPUTED_VALUE"""),"23201144")</f>
        <v>23201144</v>
      </c>
      <c r="B6" s="3">
        <f>IFERROR(__xludf.DUMMYFUNCTION("""COMPUTED_VALUE"""),0.0)</f>
        <v>0</v>
      </c>
      <c r="C6" s="3">
        <f>IFERROR(__xludf.DUMMYFUNCTION("""COMPUTED_VALUE"""),0.0)</f>
        <v>0</v>
      </c>
      <c r="D6" s="3">
        <f>IFERROR(__xludf.DUMMYFUNCTION("""COMPUTED_VALUE"""),0.0)</f>
        <v>0</v>
      </c>
      <c r="E6" s="3">
        <f>IFERROR(__xludf.DUMMYFUNCTION("""COMPUTED_VALUE"""),0.0)</f>
        <v>0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IFERROR(__xludf.DUMMYFUNCTION("""COMPUTED_VALUE"""),0.0)</f>
        <v>0</v>
      </c>
      <c r="K6" s="3">
        <f>IFERROR(__xludf.DUMMYFUNCTION("""COMPUTED_VALUE"""),0.0)</f>
        <v>0</v>
      </c>
      <c r="L6" s="3">
        <f>IFERROR(__xludf.DUMMYFUNCTION("""COMPUTED_VALUE"""),0.0)</f>
        <v>0</v>
      </c>
      <c r="M6" s="3">
        <f>IFERROR(__xludf.DUMMYFUNCTION("""COMPUTED_VALUE"""),0.0)</f>
        <v>0</v>
      </c>
      <c r="N6" s="3">
        <f>IFERROR(__xludf.DUMMYFUNCTION("""COMPUTED_VALUE"""),0.0)</f>
        <v>0</v>
      </c>
      <c r="O6" s="3">
        <f>IFERROR(__xludf.DUMMYFUNCTION("""COMPUTED_VALUE"""),0.0)</f>
        <v>0</v>
      </c>
      <c r="P6" s="3">
        <f>IFERROR(__xludf.DUMMYFUNCTION("""COMPUTED_VALUE"""),0.0)</f>
        <v>0</v>
      </c>
      <c r="Q6" s="3">
        <f>IFERROR(__xludf.DUMMYFUNCTION("""COMPUTED_VALUE"""),0.0)</f>
        <v>0</v>
      </c>
      <c r="R6" s="3"/>
      <c r="S6" s="3"/>
      <c r="T6" s="3">
        <f>IFERROR(__xludf.DUMMYFUNCTION("""COMPUTED_VALUE"""),0.0)</f>
        <v>0</v>
      </c>
      <c r="U6" s="3">
        <f>IFERROR(__xludf.DUMMYFUNCTION("""COMPUTED_VALUE"""),0.0)</f>
        <v>0</v>
      </c>
      <c r="V6" s="3"/>
      <c r="W6" s="3"/>
      <c r="X6" s="3">
        <f>IFERROR(__xludf.DUMMYFUNCTION("""COMPUTED_VALUE"""),0.0)</f>
        <v>0</v>
      </c>
      <c r="Y6" s="3"/>
      <c r="Z6" s="3"/>
      <c r="AA6" s="3"/>
      <c r="AB6" s="3">
        <f>IFERROR(__xludf.DUMMYFUNCTION("""COMPUTED_VALUE"""),0.0)</f>
        <v>0</v>
      </c>
      <c r="AC6" s="3"/>
      <c r="AD6" s="3">
        <f>IFERROR(__xludf.DUMMYFUNCTION("""COMPUTED_VALUE"""),0.0)</f>
        <v>0</v>
      </c>
      <c r="AE6" s="3"/>
      <c r="AF6" s="3"/>
      <c r="AG6" s="3"/>
      <c r="AH6" s="3">
        <f>IFERROR(__xludf.DUMMYFUNCTION("""COMPUTED_VALUE"""),0.0)</f>
        <v>0</v>
      </c>
      <c r="AI6" s="3"/>
      <c r="AJ6" s="3"/>
      <c r="AK6" s="3">
        <f>IFERROR(__xludf.DUMMYFUNCTION("""COMPUTED_VALUE"""),0.0)</f>
        <v>0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IFERROR(__xludf.DUMMYFUNCTION("""COMPUTED_VALUE"""),"24101313")</f>
        <v>24101313</v>
      </c>
      <c r="B7" s="3">
        <f>IFERROR(__xludf.DUMMYFUNCTION("""COMPUTED_VALUE"""),0.0)</f>
        <v>0</v>
      </c>
      <c r="C7" s="3">
        <f>IFERROR(__xludf.DUMMYFUNCTION("""COMPUTED_VALUE"""),0.0)</f>
        <v>0</v>
      </c>
      <c r="D7" s="3">
        <f>IFERROR(__xludf.DUMMYFUNCTION("""COMPUTED_VALUE"""),0.0)</f>
        <v>0</v>
      </c>
      <c r="E7" s="3">
        <f>IFERROR(__xludf.DUMMYFUNCTION("""COMPUTED_VALUE"""),0.0)</f>
        <v>0</v>
      </c>
      <c r="F7" s="3">
        <f>IFERROR(__xludf.DUMMYFUNCTION("""COMPUTED_VALUE"""),0.0)</f>
        <v>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IFERROR(__xludf.DUMMYFUNCTION("""COMPUTED_VALUE"""),0.0)</f>
        <v>0</v>
      </c>
      <c r="K7" s="3">
        <f>IFERROR(__xludf.DUMMYFUNCTION("""COMPUTED_VALUE"""),0.0)</f>
        <v>0</v>
      </c>
      <c r="L7" s="3">
        <f>IFERROR(__xludf.DUMMYFUNCTION("""COMPUTED_VALUE"""),0.0)</f>
        <v>0</v>
      </c>
      <c r="M7" s="3">
        <f>IFERROR(__xludf.DUMMYFUNCTION("""COMPUTED_VALUE"""),0.0)</f>
        <v>0</v>
      </c>
      <c r="N7" s="3">
        <f>IFERROR(__xludf.DUMMYFUNCTION("""COMPUTED_VALUE"""),0.0)</f>
        <v>0</v>
      </c>
      <c r="O7" s="3">
        <f>IFERROR(__xludf.DUMMYFUNCTION("""COMPUTED_VALUE"""),0.0)</f>
        <v>0</v>
      </c>
      <c r="P7" s="3">
        <f>IFERROR(__xludf.DUMMYFUNCTION("""COMPUTED_VALUE"""),0.0)</f>
        <v>0</v>
      </c>
      <c r="Q7" s="3">
        <f>IFERROR(__xludf.DUMMYFUNCTION("""COMPUTED_VALUE"""),0.0)</f>
        <v>0</v>
      </c>
      <c r="R7" s="3"/>
      <c r="S7" s="3"/>
      <c r="T7" s="3"/>
      <c r="U7" s="3"/>
      <c r="V7" s="3"/>
      <c r="W7" s="3"/>
      <c r="X7" s="3">
        <f>IFERROR(__xludf.DUMMYFUNCTION("""COMPUTED_VALUE"""),0.0)</f>
        <v>0</v>
      </c>
      <c r="Y7" s="3"/>
      <c r="Z7" s="3"/>
      <c r="AA7" s="3"/>
      <c r="AB7" s="3">
        <f>IFERROR(__xludf.DUMMYFUNCTION("""COMPUTED_VALUE"""),0.0)</f>
        <v>0</v>
      </c>
      <c r="AC7" s="3"/>
      <c r="AD7" s="3">
        <f>IFERROR(__xludf.DUMMYFUNCTION("""COMPUTED_VALUE"""),0.0)</f>
        <v>0</v>
      </c>
      <c r="AE7" s="3"/>
      <c r="AF7" s="3"/>
      <c r="AG7" s="3"/>
      <c r="AH7" s="3">
        <f>IFERROR(__xludf.DUMMYFUNCTION("""COMPUTED_VALUE"""),0.0)</f>
        <v>0</v>
      </c>
      <c r="AI7" s="3"/>
      <c r="AJ7" s="3"/>
      <c r="AK7" s="3">
        <f>IFERROR(__xludf.DUMMYFUNCTION("""COMPUTED_VALUE"""),0.0)</f>
        <v>0</v>
      </c>
      <c r="AL7" s="3"/>
      <c r="AM7" s="3"/>
      <c r="AN7" s="3"/>
      <c r="AO7" s="3"/>
      <c r="AP7" s="3">
        <f>IFERROR(__xludf.DUMMYFUNCTION("""COMPUTED_VALUE"""),0.0)</f>
        <v>0</v>
      </c>
      <c r="AQ7" s="3"/>
      <c r="AR7" s="3">
        <f>IFERROR(__xludf.DUMMYFUNCTION("""COMPUTED_VALUE"""),0.0)</f>
        <v>0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IFERROR(__xludf.DUMMYFUNCTION("""COMPUTED_VALUE"""),"24101551")</f>
        <v>24101551</v>
      </c>
      <c r="B8" s="3">
        <f>IFERROR(__xludf.DUMMYFUNCTION("""COMPUTED_VALUE"""),0.0)</f>
        <v>0</v>
      </c>
      <c r="C8" s="3">
        <f>IFERROR(__xludf.DUMMYFUNCTION("""COMPUTED_VALUE"""),0.0)</f>
        <v>0</v>
      </c>
      <c r="D8" s="3">
        <f>IFERROR(__xludf.DUMMYFUNCTION("""COMPUTED_VALUE"""),5.0)</f>
        <v>5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IFERROR(__xludf.DUMMYFUNCTION("""COMPUTED_VALUE"""),6.0)</f>
        <v>6</v>
      </c>
      <c r="K8" s="3">
        <f>IFERROR(__xludf.DUMMYFUNCTION("""COMPUTED_VALUE"""),8.0)</f>
        <v>8</v>
      </c>
      <c r="L8" s="3">
        <f>IFERROR(__xludf.DUMMYFUNCTION("""COMPUTED_VALUE"""),8.0)</f>
        <v>8</v>
      </c>
      <c r="M8" s="3">
        <f>IFERROR(__xludf.DUMMYFUNCTION("""COMPUTED_VALUE"""),8.0)</f>
        <v>8</v>
      </c>
      <c r="N8" s="3">
        <f>IFERROR(__xludf.DUMMYFUNCTION("""COMPUTED_VALUE"""),8.0)</f>
        <v>8</v>
      </c>
      <c r="O8" s="3">
        <f>IFERROR(__xludf.DUMMYFUNCTION("""COMPUTED_VALUE"""),8.0)</f>
        <v>8</v>
      </c>
      <c r="P8" s="3">
        <f>IFERROR(__xludf.DUMMYFUNCTION("""COMPUTED_VALUE"""),6.0)</f>
        <v>6</v>
      </c>
      <c r="Q8" s="3">
        <f>IFERROR(__xludf.DUMMYFUNCTION("""COMPUTED_VALUE"""),3.0)</f>
        <v>3</v>
      </c>
      <c r="R8" s="3"/>
      <c r="S8" s="3"/>
      <c r="T8" s="3"/>
      <c r="U8" s="3"/>
      <c r="V8" s="3"/>
      <c r="W8" s="3"/>
      <c r="X8" s="3">
        <f>IFERROR(__xludf.DUMMYFUNCTION("""COMPUTED_VALUE"""),0.0)</f>
        <v>0</v>
      </c>
      <c r="Y8" s="3"/>
      <c r="Z8" s="3"/>
      <c r="AA8" s="3"/>
      <c r="AB8" s="3">
        <f>IFERROR(__xludf.DUMMYFUNCTION("""COMPUTED_VALUE"""),0.0)</f>
        <v>0</v>
      </c>
      <c r="AC8" s="3"/>
      <c r="AD8" s="3"/>
      <c r="AE8" s="3"/>
      <c r="AF8" s="3"/>
      <c r="AG8" s="3"/>
      <c r="AH8" s="3">
        <f>IFERROR(__xludf.DUMMYFUNCTION("""COMPUTED_VALUE"""),0.0)</f>
        <v>0</v>
      </c>
      <c r="AI8" s="3"/>
      <c r="AJ8" s="3"/>
      <c r="AK8" s="3">
        <f>IFERROR(__xludf.DUMMYFUNCTION("""COMPUTED_VALUE"""),0.0)</f>
        <v>0</v>
      </c>
      <c r="AL8" s="3"/>
      <c r="AM8" s="3"/>
      <c r="AN8" s="3"/>
      <c r="AO8" s="3"/>
      <c r="AP8" s="3">
        <f>IFERROR(__xludf.DUMMYFUNCTION("""COMPUTED_VALUE"""),0.0)</f>
        <v>0</v>
      </c>
      <c r="AQ8" s="3"/>
      <c r="AR8" s="3">
        <f>IFERROR(__xludf.DUMMYFUNCTION("""COMPUTED_VALUE"""),0.0)</f>
        <v>0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IFERROR(__xludf.DUMMYFUNCTION("""COMPUTED_VALUE"""),"24201131")</f>
        <v>24201131</v>
      </c>
      <c r="B9" s="3">
        <f>IFERROR(__xludf.DUMMYFUNCTION("""COMPUTED_VALUE"""),7.779874213836479)</f>
        <v>7.779874214</v>
      </c>
      <c r="C9" s="3">
        <f>IFERROR(__xludf.DUMMYFUNCTION("""COMPUTED_VALUE"""),4.666666666666667)</f>
        <v>4.666666667</v>
      </c>
      <c r="D9" s="3">
        <f>IFERROR(__xludf.DUMMYFUNCTION("""COMPUTED_VALUE"""),3.1132075471698113)</f>
        <v>3.113207547</v>
      </c>
      <c r="E9" s="3">
        <f>IFERROR(__xludf.DUMMYFUNCTION("""COMPUTED_VALUE"""),10.0)</f>
        <v>10</v>
      </c>
      <c r="F9" s="3">
        <f>IFERROR(__xludf.DUMMYFUNCTION("""COMPUTED_VALUE"""),4.0)</f>
        <v>4</v>
      </c>
      <c r="G9" s="3">
        <f>IFERROR(__xludf.DUMMYFUNCTION("""COMPUTED_VALUE"""),0.0)</f>
        <v>0</v>
      </c>
      <c r="H9" s="3">
        <f>IFERROR(__xludf.DUMMYFUNCTION("""COMPUTED_VALUE"""),0.0)</f>
        <v>0</v>
      </c>
      <c r="I9" s="3">
        <f>IFERROR(__xludf.DUMMYFUNCTION("""COMPUTED_VALUE"""),0.0)</f>
        <v>0</v>
      </c>
      <c r="J9" s="3">
        <f>IFERROR(__xludf.DUMMYFUNCTION("""COMPUTED_VALUE"""),5.0)</f>
        <v>5</v>
      </c>
      <c r="K9" s="3">
        <f>IFERROR(__xludf.DUMMYFUNCTION("""COMPUTED_VALUE"""),7.0)</f>
        <v>7</v>
      </c>
      <c r="L9" s="3">
        <f>IFERROR(__xludf.DUMMYFUNCTION("""COMPUTED_VALUE"""),6.0)</f>
        <v>6</v>
      </c>
      <c r="M9" s="3">
        <f>IFERROR(__xludf.DUMMYFUNCTION("""COMPUTED_VALUE"""),5.0)</f>
        <v>5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3">
        <f>IFERROR(__xludf.DUMMYFUNCTION("""COMPUTED_VALUE"""),5.0)</f>
        <v>5</v>
      </c>
      <c r="Q9" s="3">
        <f>IFERROR(__xludf.DUMMYFUNCTION("""COMPUTED_VALUE"""),5.0)</f>
        <v>5</v>
      </c>
      <c r="R9" s="3"/>
      <c r="S9" s="3"/>
      <c r="T9" s="3">
        <f>IFERROR(__xludf.DUMMYFUNCTION("""COMPUTED_VALUE"""),1.0)</f>
        <v>1</v>
      </c>
      <c r="U9" s="3">
        <f>IFERROR(__xludf.DUMMYFUNCTION("""COMPUTED_VALUE"""),0.0)</f>
        <v>0</v>
      </c>
      <c r="V9" s="3"/>
      <c r="W9" s="3"/>
      <c r="X9" s="3">
        <f>IFERROR(__xludf.DUMMYFUNCTION("""COMPUTED_VALUE"""),0.4)</f>
        <v>0.4</v>
      </c>
      <c r="Y9" s="3"/>
      <c r="Z9" s="3"/>
      <c r="AA9" s="3"/>
      <c r="AB9" s="3">
        <f>IFERROR(__xludf.DUMMYFUNCTION("""COMPUTED_VALUE"""),0.0)</f>
        <v>0</v>
      </c>
      <c r="AC9" s="3"/>
      <c r="AD9" s="3">
        <f>IFERROR(__xludf.DUMMYFUNCTION("""COMPUTED_VALUE"""),0.0)</f>
        <v>0</v>
      </c>
      <c r="AE9" s="3"/>
      <c r="AF9" s="3"/>
      <c r="AG9" s="3"/>
      <c r="AH9" s="3">
        <f>IFERROR(__xludf.DUMMYFUNCTION("""COMPUTED_VALUE"""),0.0)</f>
        <v>0</v>
      </c>
      <c r="AI9" s="3"/>
      <c r="AJ9" s="3"/>
      <c r="AK9" s="3">
        <f>IFERROR(__xludf.DUMMYFUNCTION("""COMPUTED_VALUE"""),0.0)</f>
        <v>0</v>
      </c>
      <c r="AL9" s="3"/>
      <c r="AM9" s="3"/>
      <c r="AN9" s="3"/>
      <c r="AO9" s="3"/>
      <c r="AP9" s="3">
        <f>IFERROR(__xludf.DUMMYFUNCTION("""COMPUTED_VALUE"""),0.0)</f>
        <v>0</v>
      </c>
      <c r="AQ9" s="3"/>
      <c r="AR9" s="3">
        <f>IFERROR(__xludf.DUMMYFUNCTION("""COMPUTED_VALUE"""),0.0)</f>
        <v>0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IFERROR(__xludf.DUMMYFUNCTION("""COMPUTED_VALUE"""),"24201179")</f>
        <v>24201179</v>
      </c>
      <c r="B10" s="3">
        <f>IFERROR(__xludf.DUMMYFUNCTION("""COMPUTED_VALUE"""),15.0)</f>
        <v>15</v>
      </c>
      <c r="C10" s="3">
        <f>IFERROR(__xludf.DUMMYFUNCTION("""COMPUTED_VALUE"""),10.0)</f>
        <v>10</v>
      </c>
      <c r="D10" s="3">
        <f>IFERROR(__xludf.DUMMYFUNCTION("""COMPUTED_VALUE"""),5.0)</f>
        <v>5</v>
      </c>
      <c r="E10" s="3">
        <f>IFERROR(__xludf.DUMMYFUNCTION("""COMPUTED_VALUE"""),0.0)</f>
        <v>0</v>
      </c>
      <c r="F10" s="3">
        <f>IFERROR(__xludf.DUMMYFUNCTION("""COMPUTED_VALUE"""),10.0)</f>
        <v>10</v>
      </c>
      <c r="G10" s="3">
        <f>IFERROR(__xludf.DUMMYFUNCTION("""COMPUTED_VALUE"""),20.0)</f>
        <v>20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IFERROR(__xludf.DUMMYFUNCTION("""COMPUTED_VALUE"""),8.0)</f>
        <v>8</v>
      </c>
      <c r="K10" s="3">
        <f>IFERROR(__xludf.DUMMYFUNCTION("""COMPUTED_VALUE"""),8.0)</f>
        <v>8</v>
      </c>
      <c r="L10" s="3">
        <f>IFERROR(__xludf.DUMMYFUNCTION("""COMPUTED_VALUE"""),8.0)</f>
        <v>8</v>
      </c>
      <c r="M10" s="3">
        <f>IFERROR(__xludf.DUMMYFUNCTION("""COMPUTED_VALUE"""),8.0)</f>
        <v>8</v>
      </c>
      <c r="N10" s="3">
        <f>IFERROR(__xludf.DUMMYFUNCTION("""COMPUTED_VALUE"""),8.0)</f>
        <v>8</v>
      </c>
      <c r="O10" s="3">
        <f>IFERROR(__xludf.DUMMYFUNCTION("""COMPUTED_VALUE"""),8.0)</f>
        <v>8</v>
      </c>
      <c r="P10" s="3">
        <f>IFERROR(__xludf.DUMMYFUNCTION("""COMPUTED_VALUE"""),6.0)</f>
        <v>6</v>
      </c>
      <c r="Q10" s="3">
        <f>IFERROR(__xludf.DUMMYFUNCTION("""COMPUTED_VALUE"""),7.0)</f>
        <v>7</v>
      </c>
      <c r="R10" s="3"/>
      <c r="S10" s="3"/>
      <c r="T10" s="3"/>
      <c r="U10" s="3"/>
      <c r="V10" s="3"/>
      <c r="W10" s="3"/>
      <c r="X10" s="3">
        <f>IFERROR(__xludf.DUMMYFUNCTION("""COMPUTED_VALUE"""),0.0)</f>
        <v>0</v>
      </c>
      <c r="Y10" s="3"/>
      <c r="Z10" s="3"/>
      <c r="AA10" s="3"/>
      <c r="AB10" s="3">
        <f>IFERROR(__xludf.DUMMYFUNCTION("""COMPUTED_VALUE"""),1.0)</f>
        <v>1</v>
      </c>
      <c r="AC10" s="3"/>
      <c r="AD10" s="3">
        <f>IFERROR(__xludf.DUMMYFUNCTION("""COMPUTED_VALUE"""),1.0)</f>
        <v>1</v>
      </c>
      <c r="AE10" s="3"/>
      <c r="AF10" s="3"/>
      <c r="AG10" s="3"/>
      <c r="AH10" s="3">
        <f>IFERROR(__xludf.DUMMYFUNCTION("""COMPUTED_VALUE"""),0.0)</f>
        <v>0</v>
      </c>
      <c r="AI10" s="3"/>
      <c r="AJ10" s="3"/>
      <c r="AK10" s="3">
        <f>IFERROR(__xludf.DUMMYFUNCTION("""COMPUTED_VALUE"""),0.0)</f>
        <v>0</v>
      </c>
      <c r="AL10" s="3"/>
      <c r="AM10" s="3"/>
      <c r="AN10" s="3"/>
      <c r="AO10" s="3"/>
      <c r="AP10" s="3">
        <f>IFERROR(__xludf.DUMMYFUNCTION("""COMPUTED_VALUE"""),0.0)</f>
        <v>0</v>
      </c>
      <c r="AQ10" s="3"/>
      <c r="AR10" s="3">
        <f>IFERROR(__xludf.DUMMYFUNCTION("""COMPUTED_VALUE"""),0.0)</f>
        <v>0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IFERROR(__xludf.DUMMYFUNCTION("""COMPUTED_VALUE"""),"24201286")</f>
        <v>24201286</v>
      </c>
      <c r="B11" s="3">
        <f>IFERROR(__xludf.DUMMYFUNCTION("""COMPUTED_VALUE"""),10.0)</f>
        <v>10</v>
      </c>
      <c r="C11" s="3">
        <f>IFERROR(__xludf.DUMMYFUNCTION("""COMPUTED_VALUE"""),5.0)</f>
        <v>5</v>
      </c>
      <c r="D11" s="3">
        <f>IFERROR(__xludf.DUMMYFUNCTION("""COMPUTED_VALUE"""),5.0)</f>
        <v>5</v>
      </c>
      <c r="E11" s="3">
        <f>IFERROR(__xludf.DUMMYFUNCTION("""COMPUTED_VALUE"""),10.0)</f>
        <v>10</v>
      </c>
      <c r="F11" s="3">
        <f>IFERROR(__xludf.DUMMYFUNCTION("""COMPUTED_VALUE"""),4.0)</f>
        <v>4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IFERROR(__xludf.DUMMYFUNCTION("""COMPUTED_VALUE"""),1.0)</f>
        <v>1</v>
      </c>
      <c r="J11" s="3">
        <f>IFERROR(__xludf.DUMMYFUNCTION("""COMPUTED_VALUE"""),8.0)</f>
        <v>8</v>
      </c>
      <c r="K11" s="3">
        <f>IFERROR(__xludf.DUMMYFUNCTION("""COMPUTED_VALUE"""),8.0)</f>
        <v>8</v>
      </c>
      <c r="L11" s="3">
        <f>IFERROR(__xludf.DUMMYFUNCTION("""COMPUTED_VALUE"""),7.0)</f>
        <v>7</v>
      </c>
      <c r="M11" s="3">
        <f>IFERROR(__xludf.DUMMYFUNCTION("""COMPUTED_VALUE"""),8.0)</f>
        <v>8</v>
      </c>
      <c r="N11" s="3">
        <f>IFERROR(__xludf.DUMMYFUNCTION("""COMPUTED_VALUE"""),8.0)</f>
        <v>8</v>
      </c>
      <c r="O11" s="3">
        <f>IFERROR(__xludf.DUMMYFUNCTION("""COMPUTED_VALUE"""),8.0)</f>
        <v>8</v>
      </c>
      <c r="P11" s="3">
        <f>IFERROR(__xludf.DUMMYFUNCTION("""COMPUTED_VALUE"""),6.0)</f>
        <v>6</v>
      </c>
      <c r="Q11" s="3">
        <f>IFERROR(__xludf.DUMMYFUNCTION("""COMPUTED_VALUE"""),6.0)</f>
        <v>6</v>
      </c>
      <c r="R11" s="3"/>
      <c r="S11" s="3"/>
      <c r="T11" s="3">
        <f>IFERROR(__xludf.DUMMYFUNCTION("""COMPUTED_VALUE"""),1.0)</f>
        <v>1</v>
      </c>
      <c r="U11" s="3"/>
      <c r="V11" s="3"/>
      <c r="W11" s="3"/>
      <c r="X11" s="3">
        <f>IFERROR(__xludf.DUMMYFUNCTION("""COMPUTED_VALUE"""),0.4)</f>
        <v>0.4</v>
      </c>
      <c r="Y11" s="3"/>
      <c r="Z11" s="3"/>
      <c r="AA11" s="3"/>
      <c r="AB11" s="3">
        <f>IFERROR(__xludf.DUMMYFUNCTION("""COMPUTED_VALUE"""),0.0)</f>
        <v>0</v>
      </c>
      <c r="AC11" s="3"/>
      <c r="AD11" s="3">
        <f>IFERROR(__xludf.DUMMYFUNCTION("""COMPUTED_VALUE"""),0.0)</f>
        <v>0</v>
      </c>
      <c r="AE11" s="3"/>
      <c r="AF11" s="3"/>
      <c r="AG11" s="3"/>
      <c r="AH11" s="3">
        <f>IFERROR(__xludf.DUMMYFUNCTION("""COMPUTED_VALUE"""),0.0)</f>
        <v>0</v>
      </c>
      <c r="AI11" s="3"/>
      <c r="AJ11" s="3"/>
      <c r="AK11" s="3">
        <f>IFERROR(__xludf.DUMMYFUNCTION("""COMPUTED_VALUE"""),0.0)</f>
        <v>0</v>
      </c>
      <c r="AL11" s="3"/>
      <c r="AM11" s="3"/>
      <c r="AN11" s="3"/>
      <c r="AO11" s="3"/>
      <c r="AP11" s="3">
        <f>IFERROR(__xludf.DUMMYFUNCTION("""COMPUTED_VALUE"""),0.1)</f>
        <v>0.1</v>
      </c>
      <c r="AQ11" s="3"/>
      <c r="AR11" s="3">
        <f>IFERROR(__xludf.DUMMYFUNCTION("""COMPUTED_VALUE"""),0.0)</f>
        <v>0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IFERROR(__xludf.DUMMYFUNCTION("""COMPUTED_VALUE"""),"24201296")</f>
        <v>24201296</v>
      </c>
      <c r="B12" s="3">
        <f>IFERROR(__xludf.DUMMYFUNCTION("""COMPUTED_VALUE"""),5.0)</f>
        <v>5</v>
      </c>
      <c r="C12" s="3">
        <f>IFERROR(__xludf.DUMMYFUNCTION("""COMPUTED_VALUE"""),0.0)</f>
        <v>0</v>
      </c>
      <c r="D12" s="3">
        <f>IFERROR(__xludf.DUMMYFUNCTION("""COMPUTED_VALUE"""),5.0)</f>
        <v>5</v>
      </c>
      <c r="E12" s="3">
        <f>IFERROR(__xludf.DUMMYFUNCTION("""COMPUTED_VALUE"""),0.0)</f>
        <v>0</v>
      </c>
      <c r="F12" s="3">
        <f>IFERROR(__xludf.DUMMYFUNCTION("""COMPUTED_VALUE"""),0.0)</f>
        <v>0</v>
      </c>
      <c r="G12" s="3">
        <f>IFERROR(__xludf.DUMMYFUNCTION("""COMPUTED_VALUE"""),0.0)</f>
        <v>0</v>
      </c>
      <c r="H12" s="3">
        <f>IFERROR(__xludf.DUMMYFUNCTION("""COMPUTED_VALUE"""),0.0)</f>
        <v>0</v>
      </c>
      <c r="I12" s="3">
        <f>IFERROR(__xludf.DUMMYFUNCTION("""COMPUTED_VALUE"""),0.0)</f>
        <v>0</v>
      </c>
      <c r="J12" s="3">
        <f>IFERROR(__xludf.DUMMYFUNCTION("""COMPUTED_VALUE"""),7.0)</f>
        <v>7</v>
      </c>
      <c r="K12" s="3">
        <f>IFERROR(__xludf.DUMMYFUNCTION("""COMPUTED_VALUE"""),8.0)</f>
        <v>8</v>
      </c>
      <c r="L12" s="3">
        <f>IFERROR(__xludf.DUMMYFUNCTION("""COMPUTED_VALUE"""),8.0)</f>
        <v>8</v>
      </c>
      <c r="M12" s="3">
        <f>IFERROR(__xludf.DUMMYFUNCTION("""COMPUTED_VALUE"""),8.0)</f>
        <v>8</v>
      </c>
      <c r="N12" s="3">
        <f>IFERROR(__xludf.DUMMYFUNCTION("""COMPUTED_VALUE"""),8.0)</f>
        <v>8</v>
      </c>
      <c r="O12" s="3">
        <f>IFERROR(__xludf.DUMMYFUNCTION("""COMPUTED_VALUE"""),8.0)</f>
        <v>8</v>
      </c>
      <c r="P12" s="3">
        <f>IFERROR(__xludf.DUMMYFUNCTION("""COMPUTED_VALUE"""),6.0)</f>
        <v>6</v>
      </c>
      <c r="Q12" s="3">
        <f>IFERROR(__xludf.DUMMYFUNCTION("""COMPUTED_VALUE"""),2.0)</f>
        <v>2</v>
      </c>
      <c r="R12" s="3"/>
      <c r="S12" s="3"/>
      <c r="T12" s="3"/>
      <c r="U12" s="3"/>
      <c r="V12" s="3"/>
      <c r="W12" s="3"/>
      <c r="X12" s="3">
        <f>IFERROR(__xludf.DUMMYFUNCTION("""COMPUTED_VALUE"""),0.0)</f>
        <v>0</v>
      </c>
      <c r="Y12" s="3"/>
      <c r="Z12" s="3"/>
      <c r="AA12" s="3"/>
      <c r="AB12" s="3">
        <f>IFERROR(__xludf.DUMMYFUNCTION("""COMPUTED_VALUE"""),0.0)</f>
        <v>0</v>
      </c>
      <c r="AC12" s="3"/>
      <c r="AD12" s="3">
        <f>IFERROR(__xludf.DUMMYFUNCTION("""COMPUTED_VALUE"""),0.0)</f>
        <v>0</v>
      </c>
      <c r="AE12" s="3"/>
      <c r="AF12" s="3"/>
      <c r="AG12" s="3"/>
      <c r="AH12" s="3">
        <f>IFERROR(__xludf.DUMMYFUNCTION("""COMPUTED_VALUE"""),0.0)</f>
        <v>0</v>
      </c>
      <c r="AI12" s="3"/>
      <c r="AJ12" s="3"/>
      <c r="AK12" s="3">
        <f>IFERROR(__xludf.DUMMYFUNCTION("""COMPUTED_VALUE"""),0.0)</f>
        <v>0</v>
      </c>
      <c r="AL12" s="3"/>
      <c r="AM12" s="3"/>
      <c r="AN12" s="3"/>
      <c r="AO12" s="3"/>
      <c r="AP12" s="3">
        <f>IFERROR(__xludf.DUMMYFUNCTION("""COMPUTED_VALUE"""),0.0)</f>
        <v>0</v>
      </c>
      <c r="AQ12" s="3"/>
      <c r="AR12" s="3">
        <f>IFERROR(__xludf.DUMMYFUNCTION("""COMPUTED_VALUE"""),0.0)</f>
        <v>0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IFERROR(__xludf.DUMMYFUNCTION("""COMPUTED_VALUE"""),"24201305")</f>
        <v>24201305</v>
      </c>
      <c r="B13" s="3">
        <f>IFERROR(__xludf.DUMMYFUNCTION("""COMPUTED_VALUE"""),20.0)</f>
        <v>20</v>
      </c>
      <c r="C13" s="3">
        <f>IFERROR(__xludf.DUMMYFUNCTION("""COMPUTED_VALUE"""),15.0)</f>
        <v>15</v>
      </c>
      <c r="D13" s="3">
        <f>IFERROR(__xludf.DUMMYFUNCTION("""COMPUTED_VALUE"""),5.0)</f>
        <v>5</v>
      </c>
      <c r="E13" s="3">
        <f>IFERROR(__xludf.DUMMYFUNCTION("""COMPUTED_VALUE"""),2.0)</f>
        <v>2</v>
      </c>
      <c r="F13" s="3">
        <f>IFERROR(__xludf.DUMMYFUNCTION("""COMPUTED_VALUE"""),14.0)</f>
        <v>14</v>
      </c>
      <c r="G13" s="3">
        <f>IFERROR(__xludf.DUMMYFUNCTION("""COMPUTED_VALUE"""),0.0)</f>
        <v>0</v>
      </c>
      <c r="H13" s="3">
        <f>IFERROR(__xludf.DUMMYFUNCTION("""COMPUTED_VALUE"""),20.0)</f>
        <v>20</v>
      </c>
      <c r="I13" s="3">
        <f>IFERROR(__xludf.DUMMYFUNCTION("""COMPUTED_VALUE"""),11.0)</f>
        <v>11</v>
      </c>
      <c r="J13" s="3">
        <f>IFERROR(__xludf.DUMMYFUNCTION("""COMPUTED_VALUE"""),8.0)</f>
        <v>8</v>
      </c>
      <c r="K13" s="3">
        <f>IFERROR(__xludf.DUMMYFUNCTION("""COMPUTED_VALUE"""),8.0)</f>
        <v>8</v>
      </c>
      <c r="L13" s="3">
        <f>IFERROR(__xludf.DUMMYFUNCTION("""COMPUTED_VALUE"""),7.0)</f>
        <v>7</v>
      </c>
      <c r="M13" s="3">
        <f>IFERROR(__xludf.DUMMYFUNCTION("""COMPUTED_VALUE"""),8.0)</f>
        <v>8</v>
      </c>
      <c r="N13" s="3">
        <f>IFERROR(__xludf.DUMMYFUNCTION("""COMPUTED_VALUE"""),8.0)</f>
        <v>8</v>
      </c>
      <c r="O13" s="3">
        <f>IFERROR(__xludf.DUMMYFUNCTION("""COMPUTED_VALUE"""),7.0)</f>
        <v>7</v>
      </c>
      <c r="P13" s="3">
        <f>IFERROR(__xludf.DUMMYFUNCTION("""COMPUTED_VALUE"""),6.0)</f>
        <v>6</v>
      </c>
      <c r="Q13" s="3">
        <f>IFERROR(__xludf.DUMMYFUNCTION("""COMPUTED_VALUE"""),5.0)</f>
        <v>5</v>
      </c>
      <c r="R13" s="3"/>
      <c r="S13" s="3"/>
      <c r="T13" s="3">
        <f>IFERROR(__xludf.DUMMYFUNCTION("""COMPUTED_VALUE"""),0.2)</f>
        <v>0.2</v>
      </c>
      <c r="U13" s="3">
        <f>IFERROR(__xludf.DUMMYFUNCTION("""COMPUTED_VALUE"""),0.0)</f>
        <v>0</v>
      </c>
      <c r="V13" s="3"/>
      <c r="W13" s="3"/>
      <c r="X13" s="3">
        <f>IFERROR(__xludf.DUMMYFUNCTION("""COMPUTED_VALUE"""),0.4)</f>
        <v>0.4</v>
      </c>
      <c r="Y13" s="3"/>
      <c r="Z13" s="3"/>
      <c r="AA13" s="3"/>
      <c r="AB13" s="3">
        <f>IFERROR(__xludf.DUMMYFUNCTION("""COMPUTED_VALUE"""),1.0)</f>
        <v>1</v>
      </c>
      <c r="AC13" s="3"/>
      <c r="AD13" s="3">
        <f>IFERROR(__xludf.DUMMYFUNCTION("""COMPUTED_VALUE"""),0.0)</f>
        <v>0</v>
      </c>
      <c r="AE13" s="3"/>
      <c r="AF13" s="3"/>
      <c r="AG13" s="3"/>
      <c r="AH13" s="3">
        <f>IFERROR(__xludf.DUMMYFUNCTION("""COMPUTED_VALUE"""),1.0)</f>
        <v>1</v>
      </c>
      <c r="AI13" s="3"/>
      <c r="AJ13" s="3"/>
      <c r="AK13" s="3">
        <f>IFERROR(__xludf.DUMMYFUNCTION("""COMPUTED_VALUE"""),1.0)</f>
        <v>1</v>
      </c>
      <c r="AL13" s="3"/>
      <c r="AM13" s="3"/>
      <c r="AN13" s="3"/>
      <c r="AO13" s="3"/>
      <c r="AP13" s="3">
        <f>IFERROR(__xludf.DUMMYFUNCTION("""COMPUTED_VALUE"""),1.0)</f>
        <v>1</v>
      </c>
      <c r="AQ13" s="3"/>
      <c r="AR13" s="3">
        <f>IFERROR(__xludf.DUMMYFUNCTION("""COMPUTED_VALUE"""),0.1)</f>
        <v>0.1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IFERROR(__xludf.DUMMYFUNCTION("""COMPUTED_VALUE"""),"24301477")</f>
        <v>24301477</v>
      </c>
      <c r="B14" s="3">
        <f>IFERROR(__xludf.DUMMYFUNCTION("""COMPUTED_VALUE"""),0.0)</f>
        <v>0</v>
      </c>
      <c r="C14" s="3">
        <f>IFERROR(__xludf.DUMMYFUNCTION("""COMPUTED_VALUE"""),0.0)</f>
        <v>0</v>
      </c>
      <c r="D14" s="3">
        <f>IFERROR(__xludf.DUMMYFUNCTION("""COMPUTED_VALUE"""),0.0)</f>
        <v>0</v>
      </c>
      <c r="E14" s="3">
        <f>IFERROR(__xludf.DUMMYFUNCTION("""COMPUTED_VALUE"""),0.0)</f>
        <v>0</v>
      </c>
      <c r="F14" s="3">
        <f>IFERROR(__xludf.DUMMYFUNCTION("""COMPUTED_VALUE"""),0.0)</f>
        <v>0</v>
      </c>
      <c r="G14" s="3">
        <f>IFERROR(__xludf.DUMMYFUNCTION("""COMPUTED_VALUE"""),0.0)</f>
        <v>0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IFERROR(__xludf.DUMMYFUNCTION("""COMPUTED_VALUE"""),"24321331")</f>
        <v>24321331</v>
      </c>
      <c r="B15" s="3">
        <f>IFERROR(__xludf.DUMMYFUNCTION("""COMPUTED_VALUE"""),3.4150943396226414)</f>
        <v>3.41509434</v>
      </c>
      <c r="C15" s="3">
        <f>IFERROR(__xludf.DUMMYFUNCTION("""COMPUTED_VALUE"""),2.0)</f>
        <v>2</v>
      </c>
      <c r="D15" s="3">
        <f>IFERROR(__xludf.DUMMYFUNCTION("""COMPUTED_VALUE"""),1.4150943396226414)</f>
        <v>1.41509434</v>
      </c>
      <c r="E15" s="3">
        <f>IFERROR(__xludf.DUMMYFUNCTION("""COMPUTED_VALUE"""),6.0)</f>
        <v>6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IFERROR(__xludf.DUMMYFUNCTION("""COMPUTED_VALUE"""),5.0)</f>
        <v>5</v>
      </c>
      <c r="K15" s="3">
        <f>IFERROR(__xludf.DUMMYFUNCTION("""COMPUTED_VALUE"""),7.0)</f>
        <v>7</v>
      </c>
      <c r="L15" s="3">
        <f>IFERROR(__xludf.DUMMYFUNCTION("""COMPUTED_VALUE"""),3.0)</f>
        <v>3</v>
      </c>
      <c r="M15" s="3">
        <f>IFERROR(__xludf.DUMMYFUNCTION("""COMPUTED_VALUE"""),0.0)</f>
        <v>0</v>
      </c>
      <c r="N15" s="3">
        <f>IFERROR(__xludf.DUMMYFUNCTION("""COMPUTED_VALUE"""),0.0)</f>
        <v>0</v>
      </c>
      <c r="O15" s="3">
        <f>IFERROR(__xludf.DUMMYFUNCTION("""COMPUTED_VALUE"""),0.0)</f>
        <v>0</v>
      </c>
      <c r="P15" s="3">
        <f>IFERROR(__xludf.DUMMYFUNCTION("""COMPUTED_VALUE"""),0.0)</f>
        <v>0</v>
      </c>
      <c r="Q15" s="3">
        <f>IFERROR(__xludf.DUMMYFUNCTION("""COMPUTED_VALUE"""),0.0)</f>
        <v>0</v>
      </c>
      <c r="R15" s="3"/>
      <c r="S15" s="3"/>
      <c r="T15" s="3">
        <f>IFERROR(__xludf.DUMMYFUNCTION("""COMPUTED_VALUE"""),0.6)</f>
        <v>0.6</v>
      </c>
      <c r="U15" s="3">
        <f>IFERROR(__xludf.DUMMYFUNCTION("""COMPUTED_VALUE"""),0.0)</f>
        <v>0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>
        <f>IFERROR(__xludf.DUMMYFUNCTION("""COMPUTED_VALUE"""),0.0)</f>
        <v>0</v>
      </c>
      <c r="AI15" s="3"/>
      <c r="AJ15" s="3"/>
      <c r="AK15" s="3">
        <f>IFERROR(__xludf.DUMMYFUNCTION("""COMPUTED_VALUE"""),0.0)</f>
        <v>0</v>
      </c>
      <c r="AL15" s="3"/>
      <c r="AM15" s="3"/>
      <c r="AN15" s="3"/>
      <c r="AO15" s="3"/>
      <c r="AP15" s="3">
        <f>IFERROR(__xludf.DUMMYFUNCTION("""COMPUTED_VALUE"""),0.0)</f>
        <v>0</v>
      </c>
      <c r="AQ15" s="3"/>
      <c r="AR15" s="3">
        <f>IFERROR(__xludf.DUMMYFUNCTION("""COMPUTED_VALUE"""),0.0)</f>
        <v>0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5.425737784</v>
      </c>
      <c r="C43" s="3">
        <v>2.8205128205128207</v>
      </c>
      <c r="D43" s="3">
        <v>2.9898403483309144</v>
      </c>
      <c r="E43" s="3">
        <v>2.1538461538461537</v>
      </c>
      <c r="F43" s="3">
        <v>2.4615384615384617</v>
      </c>
      <c r="G43" s="3">
        <v>1.5384615384615385</v>
      </c>
      <c r="H43" s="3">
        <v>1.5384615384615385</v>
      </c>
      <c r="I43" s="3">
        <v>0.9230769230769231</v>
      </c>
      <c r="J43" s="3">
        <v>5.2727272727272725</v>
      </c>
      <c r="K43" s="3">
        <v>6.181818181818182</v>
      </c>
      <c r="L43" s="3">
        <v>5.454545454545454</v>
      </c>
      <c r="M43" s="3">
        <v>5.545454545454546</v>
      </c>
      <c r="N43" s="3">
        <v>5.090909090909091</v>
      </c>
      <c r="O43" s="3">
        <v>4.909090909090909</v>
      </c>
      <c r="P43" s="3">
        <v>4.2727272727272725</v>
      </c>
      <c r="Q43" s="3">
        <v>3.1818181818181817</v>
      </c>
      <c r="R43" s="3" t="e">
        <v>#DIV/0!</v>
      </c>
      <c r="S43" s="3" t="e">
        <v>#DIV/0!</v>
      </c>
      <c r="T43" s="3">
        <v>0.46666666666666673</v>
      </c>
      <c r="U43" s="3">
        <v>0.0</v>
      </c>
      <c r="V43" s="3" t="e">
        <v>#DIV/0!</v>
      </c>
      <c r="W43" s="3" t="e">
        <v>#DIV/0!</v>
      </c>
      <c r="X43" s="3">
        <v>0.12000000000000002</v>
      </c>
      <c r="Y43" s="3" t="e">
        <v>#DIV/0!</v>
      </c>
      <c r="Z43" s="3" t="e">
        <v>#DIV/0!</v>
      </c>
      <c r="AA43" s="3" t="e">
        <v>#DIV/0!</v>
      </c>
      <c r="AB43" s="3">
        <v>0.2</v>
      </c>
      <c r="AC43" s="3" t="e">
        <v>#DIV/0!</v>
      </c>
      <c r="AD43" s="3">
        <v>0.1111111111111111</v>
      </c>
      <c r="AE43" s="3" t="e">
        <v>#DIV/0!</v>
      </c>
      <c r="AF43" s="3" t="e">
        <v>#DIV/0!</v>
      </c>
      <c r="AG43" s="3" t="e">
        <v>#DIV/0!</v>
      </c>
      <c r="AH43" s="3">
        <v>0.1</v>
      </c>
      <c r="AI43" s="3" t="e">
        <v>#DIV/0!</v>
      </c>
      <c r="AJ43" s="3" t="e">
        <v>#DIV/0!</v>
      </c>
      <c r="AK43" s="3">
        <v>0.1</v>
      </c>
      <c r="AL43" s="3" t="e">
        <v>#DIV/0!</v>
      </c>
      <c r="AM43" s="3" t="e">
        <v>#DIV/0!</v>
      </c>
      <c r="AN43" s="3" t="e">
        <v>#DIV/0!</v>
      </c>
      <c r="AO43" s="3" t="e">
        <v>#DIV/0!</v>
      </c>
      <c r="AP43" s="3">
        <v>0.11000000000000001</v>
      </c>
      <c r="AQ43" s="3" t="e">
        <v>#DIV/0!</v>
      </c>
      <c r="AR43" s="3">
        <v>0.01</v>
      </c>
      <c r="AS43" s="3" t="e">
        <v>#DIV/0!</v>
      </c>
      <c r="AT43" s="3" t="e">
        <v>#DIV/0!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4.339622641509434</v>
      </c>
      <c r="C44" s="3">
        <v>0.0</v>
      </c>
      <c r="D44" s="3">
        <v>4.339622641509434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6.0</v>
      </c>
      <c r="K44" s="3">
        <v>7.0</v>
      </c>
      <c r="L44" s="3">
        <v>7.0</v>
      </c>
      <c r="M44" s="3">
        <v>8.0</v>
      </c>
      <c r="N44" s="3">
        <v>8.0</v>
      </c>
      <c r="O44" s="3">
        <v>7.0</v>
      </c>
      <c r="P44" s="3">
        <v>6.0</v>
      </c>
      <c r="Q44" s="3">
        <v>3.0</v>
      </c>
      <c r="R44" s="3" t="e">
        <v>#NUM!</v>
      </c>
      <c r="S44" s="3" t="e">
        <v>#NUM!</v>
      </c>
      <c r="T44" s="3">
        <v>0.4</v>
      </c>
      <c r="U44" s="3">
        <v>0.0</v>
      </c>
      <c r="V44" s="3" t="e">
        <v>#NUM!</v>
      </c>
      <c r="W44" s="3" t="e">
        <v>#NUM!</v>
      </c>
      <c r="X44" s="3">
        <v>0.0</v>
      </c>
      <c r="Y44" s="3" t="e">
        <v>#NUM!</v>
      </c>
      <c r="Z44" s="3" t="e">
        <v>#NUM!</v>
      </c>
      <c r="AA44" s="3" t="e">
        <v>#NUM!</v>
      </c>
      <c r="AB44" s="3">
        <v>0.0</v>
      </c>
      <c r="AC44" s="3" t="e">
        <v>#NUM!</v>
      </c>
      <c r="AD44" s="3">
        <v>0.0</v>
      </c>
      <c r="AE44" s="3" t="e">
        <v>#NUM!</v>
      </c>
      <c r="AF44" s="3" t="e">
        <v>#NUM!</v>
      </c>
      <c r="AG44" s="3" t="e">
        <v>#NUM!</v>
      </c>
      <c r="AH44" s="3">
        <v>0.0</v>
      </c>
      <c r="AI44" s="3" t="e">
        <v>#NUM!</v>
      </c>
      <c r="AJ44" s="3" t="e">
        <v>#NUM!</v>
      </c>
      <c r="AK44" s="3">
        <v>0.0</v>
      </c>
      <c r="AL44" s="3" t="e">
        <v>#NUM!</v>
      </c>
      <c r="AM44" s="3" t="e">
        <v>#NUM!</v>
      </c>
      <c r="AN44" s="3" t="e">
        <v>#NUM!</v>
      </c>
      <c r="AO44" s="3" t="e">
        <v>#NUM!</v>
      </c>
      <c r="AP44" s="3">
        <v>0.0</v>
      </c>
      <c r="AQ44" s="3" t="e">
        <v>#NUM!</v>
      </c>
      <c r="AR44" s="3">
        <v>0.0</v>
      </c>
      <c r="AS44" s="3" t="e">
        <v>#NUM!</v>
      </c>
      <c r="AT44" s="3" t="e">
        <v>#NUM!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5.0</v>
      </c>
      <c r="K45" s="6">
        <v>8.0</v>
      </c>
      <c r="L45" s="6">
        <v>8.0</v>
      </c>
      <c r="M45" s="6">
        <v>8.0</v>
      </c>
      <c r="N45" s="6">
        <v>8.0</v>
      </c>
      <c r="O45" s="6">
        <v>8.0</v>
      </c>
      <c r="P45" s="6">
        <v>6.0</v>
      </c>
      <c r="Q45" s="6">
        <v>0.0</v>
      </c>
      <c r="R45" s="6" t="e">
        <v>#N/A</v>
      </c>
      <c r="S45" s="6" t="e">
        <v>#N/A</v>
      </c>
      <c r="T45" s="6">
        <v>0.0</v>
      </c>
      <c r="U45" s="6">
        <v>0.0</v>
      </c>
      <c r="V45" s="6" t="e">
        <v>#N/A</v>
      </c>
      <c r="W45" s="6" t="e">
        <v>#N/A</v>
      </c>
      <c r="X45" s="6">
        <v>0.0</v>
      </c>
      <c r="Y45" s="6" t="e">
        <v>#N/A</v>
      </c>
      <c r="Z45" s="6" t="e">
        <v>#N/A</v>
      </c>
      <c r="AA45" s="6" t="e">
        <v>#N/A</v>
      </c>
      <c r="AB45" s="6">
        <v>0.0</v>
      </c>
      <c r="AC45" s="6" t="e">
        <v>#N/A</v>
      </c>
      <c r="AD45" s="6">
        <v>0.0</v>
      </c>
      <c r="AE45" s="6" t="e">
        <v>#N/A</v>
      </c>
      <c r="AF45" s="6" t="e">
        <v>#N/A</v>
      </c>
      <c r="AG45" s="6" t="e">
        <v>#N/A</v>
      </c>
      <c r="AH45" s="6">
        <v>0.0</v>
      </c>
      <c r="AI45" s="6" t="e">
        <v>#N/A</v>
      </c>
      <c r="AJ45" s="6" t="e">
        <v>#N/A</v>
      </c>
      <c r="AK45" s="6">
        <v>0.0</v>
      </c>
      <c r="AL45" s="6" t="e">
        <v>#N/A</v>
      </c>
      <c r="AM45" s="6" t="e">
        <v>#N/A</v>
      </c>
      <c r="AN45" s="6" t="e">
        <v>#N/A</v>
      </c>
      <c r="AO45" s="6" t="e">
        <v>#N/A</v>
      </c>
      <c r="AP45" s="6">
        <v>0.0</v>
      </c>
      <c r="AQ45" s="6" t="e">
        <v>#N/A</v>
      </c>
      <c r="AR45" s="6">
        <v>0.0</v>
      </c>
      <c r="AS45" s="6" t="e">
        <v>#N/A</v>
      </c>
      <c r="AT45" s="6" t="e">
        <v>#N/A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20.0</v>
      </c>
      <c r="C47" s="6">
        <v>15.0</v>
      </c>
      <c r="D47" s="6">
        <v>5.0</v>
      </c>
      <c r="E47" s="6">
        <v>10.0</v>
      </c>
      <c r="F47" s="6">
        <v>14.0</v>
      </c>
      <c r="G47" s="6">
        <v>20.0</v>
      </c>
      <c r="H47" s="6">
        <v>20.0</v>
      </c>
      <c r="I47" s="6">
        <v>11.0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0.0</v>
      </c>
      <c r="S47" s="6">
        <v>0.0</v>
      </c>
      <c r="T47" s="6">
        <v>1.0</v>
      </c>
      <c r="U47" s="6">
        <v>0.0</v>
      </c>
      <c r="V47" s="6">
        <v>0.0</v>
      </c>
      <c r="W47" s="6">
        <v>0.0</v>
      </c>
      <c r="X47" s="6">
        <v>0.4</v>
      </c>
      <c r="Y47" s="6">
        <v>0.0</v>
      </c>
      <c r="Z47" s="6">
        <v>0.0</v>
      </c>
      <c r="AA47" s="6">
        <v>0.0</v>
      </c>
      <c r="AB47" s="6">
        <v>1.0</v>
      </c>
      <c r="AC47" s="6">
        <v>0.0</v>
      </c>
      <c r="AD47" s="6">
        <v>1.0</v>
      </c>
      <c r="AE47" s="6">
        <v>0.0</v>
      </c>
      <c r="AF47" s="6">
        <v>0.0</v>
      </c>
      <c r="AG47" s="6">
        <v>0.0</v>
      </c>
      <c r="AH47" s="6">
        <v>1.0</v>
      </c>
      <c r="AI47" s="6">
        <v>0.0</v>
      </c>
      <c r="AJ47" s="6">
        <v>0.0</v>
      </c>
      <c r="AK47" s="6">
        <v>1.0</v>
      </c>
      <c r="AL47" s="6">
        <v>0.0</v>
      </c>
      <c r="AM47" s="6">
        <v>0.0</v>
      </c>
      <c r="AN47" s="6">
        <v>0.0</v>
      </c>
      <c r="AO47" s="6">
        <v>0.0</v>
      </c>
      <c r="AP47" s="6">
        <v>1.0</v>
      </c>
      <c r="AQ47" s="6">
        <v>0.0</v>
      </c>
      <c r="AR47" s="6">
        <v>0.1</v>
      </c>
      <c r="AS47" s="6">
        <v>0.0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13.0</v>
      </c>
      <c r="C48" s="6">
        <v>13.0</v>
      </c>
      <c r="D48" s="6">
        <v>13.0</v>
      </c>
      <c r="E48" s="6">
        <v>13.0</v>
      </c>
      <c r="F48" s="6">
        <v>13.0</v>
      </c>
      <c r="G48" s="6">
        <v>13.0</v>
      </c>
      <c r="H48" s="6">
        <v>13.0</v>
      </c>
      <c r="I48" s="6">
        <v>13.0</v>
      </c>
      <c r="J48" s="6">
        <v>11.0</v>
      </c>
      <c r="K48" s="6">
        <v>11.0</v>
      </c>
      <c r="L48" s="6">
        <v>11.0</v>
      </c>
      <c r="M48" s="6">
        <v>11.0</v>
      </c>
      <c r="N48" s="6">
        <v>11.0</v>
      </c>
      <c r="O48" s="6">
        <v>11.0</v>
      </c>
      <c r="P48" s="6">
        <v>11.0</v>
      </c>
      <c r="Q48" s="6">
        <v>11.0</v>
      </c>
      <c r="R48" s="6">
        <v>0.0</v>
      </c>
      <c r="S48" s="6">
        <v>0.0</v>
      </c>
      <c r="T48" s="6">
        <v>6.0</v>
      </c>
      <c r="U48" s="6">
        <v>5.0</v>
      </c>
      <c r="V48" s="6">
        <v>0.0</v>
      </c>
      <c r="W48" s="6">
        <v>0.0</v>
      </c>
      <c r="X48" s="6">
        <v>10.0</v>
      </c>
      <c r="Y48" s="6">
        <v>0.0</v>
      </c>
      <c r="Z48" s="6">
        <v>0.0</v>
      </c>
      <c r="AA48" s="6">
        <v>0.0</v>
      </c>
      <c r="AB48" s="6">
        <v>10.0</v>
      </c>
      <c r="AC48" s="6">
        <v>0.0</v>
      </c>
      <c r="AD48" s="6">
        <v>9.0</v>
      </c>
      <c r="AE48" s="6">
        <v>0.0</v>
      </c>
      <c r="AF48" s="6">
        <v>0.0</v>
      </c>
      <c r="AG48" s="6">
        <v>0.0</v>
      </c>
      <c r="AH48" s="6">
        <v>10.0</v>
      </c>
      <c r="AI48" s="6">
        <v>0.0</v>
      </c>
      <c r="AJ48" s="6">
        <v>0.0</v>
      </c>
      <c r="AK48" s="6">
        <v>10.0</v>
      </c>
      <c r="AL48" s="6">
        <v>0.0</v>
      </c>
      <c r="AM48" s="6">
        <v>0.0</v>
      </c>
      <c r="AN48" s="6">
        <v>0.0</v>
      </c>
      <c r="AO48" s="6">
        <v>0.0</v>
      </c>
      <c r="AP48" s="6">
        <v>10.0</v>
      </c>
      <c r="AQ48" s="6">
        <v>0.0</v>
      </c>
      <c r="AR48" s="6">
        <v>10.0</v>
      </c>
      <c r="AS48" s="6">
        <v>0.0</v>
      </c>
      <c r="AT48" s="6">
        <v>0.0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5.0</v>
      </c>
      <c r="C49" s="6">
        <v>8.0</v>
      </c>
      <c r="D49" s="6">
        <v>4.0</v>
      </c>
      <c r="E49" s="6">
        <v>9.0</v>
      </c>
      <c r="F49" s="6">
        <v>9.0</v>
      </c>
      <c r="G49" s="6">
        <v>12.0</v>
      </c>
      <c r="H49" s="6">
        <v>12.0</v>
      </c>
      <c r="I49" s="6">
        <v>11.0</v>
      </c>
      <c r="J49" s="6">
        <v>2.0</v>
      </c>
      <c r="K49" s="6">
        <v>2.0</v>
      </c>
      <c r="L49" s="6">
        <v>2.0</v>
      </c>
      <c r="M49" s="6">
        <v>3.0</v>
      </c>
      <c r="N49" s="6">
        <v>4.0</v>
      </c>
      <c r="O49" s="6">
        <v>4.0</v>
      </c>
      <c r="P49" s="6">
        <v>3.0</v>
      </c>
      <c r="Q49" s="6">
        <v>4.0</v>
      </c>
      <c r="R49" s="6">
        <v>0.0</v>
      </c>
      <c r="S49" s="6">
        <v>0.0</v>
      </c>
      <c r="T49" s="6">
        <v>2.0</v>
      </c>
      <c r="U49" s="6">
        <v>5.0</v>
      </c>
      <c r="V49" s="6">
        <v>0.0</v>
      </c>
      <c r="W49" s="6">
        <v>0.0</v>
      </c>
      <c r="X49" s="6">
        <v>7.0</v>
      </c>
      <c r="Y49" s="6">
        <v>0.0</v>
      </c>
      <c r="Z49" s="6">
        <v>0.0</v>
      </c>
      <c r="AA49" s="6">
        <v>0.0</v>
      </c>
      <c r="AB49" s="6">
        <v>8.0</v>
      </c>
      <c r="AC49" s="6">
        <v>0.0</v>
      </c>
      <c r="AD49" s="6">
        <v>8.0</v>
      </c>
      <c r="AE49" s="6">
        <v>0.0</v>
      </c>
      <c r="AF49" s="6">
        <v>0.0</v>
      </c>
      <c r="AG49" s="6">
        <v>0.0</v>
      </c>
      <c r="AH49" s="6">
        <v>9.0</v>
      </c>
      <c r="AI49" s="6">
        <v>0.0</v>
      </c>
      <c r="AJ49" s="6">
        <v>0.0</v>
      </c>
      <c r="AK49" s="6">
        <v>9.0</v>
      </c>
      <c r="AL49" s="6">
        <v>0.0</v>
      </c>
      <c r="AM49" s="6">
        <v>0.0</v>
      </c>
      <c r="AN49" s="6">
        <v>0.0</v>
      </c>
      <c r="AO49" s="6">
        <v>0.0</v>
      </c>
      <c r="AP49" s="6">
        <v>8.0</v>
      </c>
      <c r="AQ49" s="6">
        <v>0.0</v>
      </c>
      <c r="AR49" s="6">
        <v>9.0</v>
      </c>
      <c r="AS49" s="6">
        <v>0.0</v>
      </c>
      <c r="AT49" s="6">
        <v>0.0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