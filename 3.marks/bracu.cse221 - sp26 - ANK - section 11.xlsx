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orksheet" sheetId="1" r:id="rId5"/>
    <sheet state="visible" name="Grade Sheet" sheetId="2" r:id="rId6"/>
    <sheet state="visible" name="All Marks" sheetId="3" r:id="rId7"/>
    <sheet state="visible" name="Mid+Final" sheetId="4" r:id="rId8"/>
    <sheet state="visible" name="Quiz" sheetId="5" r:id="rId9"/>
    <sheet state="visible" name="Assignment" sheetId="6" r:id="rId10"/>
    <sheet state="visible" name="Lab" sheetId="7" r:id="rId11"/>
    <sheet state="hidden" name="Final GradeSheet" sheetId="8" r:id="rId12"/>
  </sheets>
  <definedNames/>
  <calcPr/>
</workbook>
</file>

<file path=xl/sharedStrings.xml><?xml version="1.0" encoding="utf-8"?>
<sst xmlns="http://schemas.openxmlformats.org/spreadsheetml/2006/main" count="258" uniqueCount="145">
  <si>
    <t>Student Id</t>
  </si>
  <si>
    <t>Name</t>
  </si>
  <si>
    <t>Amlan Dutta</t>
  </si>
  <si>
    <t>Male</t>
  </si>
  <si>
    <t>CS</t>
  </si>
  <si>
    <t>amlan.dutta@g.bracu.ac.bd</t>
  </si>
  <si>
    <t>Khandokar Yusuf Khalid</t>
  </si>
  <si>
    <t>CSE</t>
  </si>
  <si>
    <t>khandokar.yusuf.khalid@g.bracu.ac.bd</t>
  </si>
  <si>
    <t>Mst. Zubaida Haque Jetu</t>
  </si>
  <si>
    <t>Female</t>
  </si>
  <si>
    <t>zubaida.haque.jetu@g.bracu.ac.bd</t>
  </si>
  <si>
    <t>Raihan Karim</t>
  </si>
  <si>
    <t>raihan.karim@g.bracu.ac.bd</t>
  </si>
  <si>
    <t>Abida Nowsheen</t>
  </si>
  <si>
    <t>abida.nowsheen@g.bracu.ac.bd</t>
  </si>
  <si>
    <t>Jubaida Jahan Prapti</t>
  </si>
  <si>
    <t>jubaida.jahan.prapti@g.bracu.ac.bd</t>
  </si>
  <si>
    <t>Sazid Chowdhury</t>
  </si>
  <si>
    <t>sazid.choudhury@g.bracu.ac.bd</t>
  </si>
  <si>
    <t>Sharif Al Rezoan</t>
  </si>
  <si>
    <t>sharif.al.rezoan@g.bracu.ac.bd</t>
  </si>
  <si>
    <t>Mohammad Rashik Ruhullah Rafi</t>
  </si>
  <si>
    <t>rashik.ruhullah.rafi@g.bracu.ac.bd</t>
  </si>
  <si>
    <t>S.A.Rahman</t>
  </si>
  <si>
    <t>s.a.rahman@g.bracu.ac.bd</t>
  </si>
  <si>
    <t>Maisha Sanjida Akhi</t>
  </si>
  <si>
    <t>maisha.sanjida.akhi@g.bracu.ac.bd</t>
  </si>
  <si>
    <t>Rafid Shahriar Auvro</t>
  </si>
  <si>
    <t>rafid.shahriar.auvro@g.bracu.ac.bd</t>
  </si>
  <si>
    <t>Farhan Anjum</t>
  </si>
  <si>
    <t>farhan.anjum1@g.bracu.ac.bd</t>
  </si>
  <si>
    <t>P. M. Mushfiqur Shium</t>
  </si>
  <si>
    <t>pm.mushfiqur.shium@g.bracu.ac.bd</t>
  </si>
  <si>
    <t>Fardin Islam</t>
  </si>
  <si>
    <t>fardin.islam1@g.bracu.ac.bd</t>
  </si>
  <si>
    <t>Raheeb Al Zabir</t>
  </si>
  <si>
    <t>raheeb.al.zabir@g.bracu.ac.bd</t>
  </si>
  <si>
    <t>Abdullah Al Noman</t>
  </si>
  <si>
    <t>abdullah.al.noman9@g.bracu.ac.bd</t>
  </si>
  <si>
    <t>Ayatullah Osama Khan</t>
  </si>
  <si>
    <t>EEE</t>
  </si>
  <si>
    <t>ayatullah.osama.khan@g.bracu.ac.bd</t>
  </si>
  <si>
    <t>Ashvin Al Afroz</t>
  </si>
  <si>
    <t>ashvin.al.afroz@g.bracu.ac.bd</t>
  </si>
  <si>
    <t>Md. Abrar Mahib Pritom</t>
  </si>
  <si>
    <t>abrar.mahib.pritom@g.bracu.ac.bd</t>
  </si>
  <si>
    <t>Nafis As - Sami</t>
  </si>
  <si>
    <t>nafis.as.sami@g.bracu.ac.bd</t>
  </si>
  <si>
    <t>Jahareen Tasmeem</t>
  </si>
  <si>
    <t>jahareen.tasmeem@g.bracu.ac.bd</t>
  </si>
  <si>
    <t>Maheer Tajwar</t>
  </si>
  <si>
    <t>maheer.tajwar@g.bracu.ac.bd</t>
  </si>
  <si>
    <t>Md.Fardin Islam</t>
  </si>
  <si>
    <t>md.fardin.islam@g.bracu.ac.bd</t>
  </si>
  <si>
    <t>Faiyaz Rahman</t>
  </si>
  <si>
    <t>faiyaz.rahman@g.bracu.ac.bd</t>
  </si>
  <si>
    <t>Md. Zayed Khan</t>
  </si>
  <si>
    <t>md.zayed.khan@g.bracu.ac.bd</t>
  </si>
  <si>
    <t>Hossain Tasnim Rumki</t>
  </si>
  <si>
    <t>hossain.tasnim.rumki@g.bracu.ac.bd</t>
  </si>
  <si>
    <t>Abdul Mumit Bin Jafor</t>
  </si>
  <si>
    <t>abdulmumit.bin.jafor@g.bracu.ac.bd</t>
  </si>
  <si>
    <t>Wamiza Mehjabin</t>
  </si>
  <si>
    <t>wamiza.mehjabin@g.bracu.ac.bd</t>
  </si>
  <si>
    <t>Shahir Sharaf Chowdhury</t>
  </si>
  <si>
    <t>shahir.sharaf.chowdhury@g.bracu.ac.bd</t>
  </si>
  <si>
    <t>Mahajabin Islam</t>
  </si>
  <si>
    <t>mahajabin.islam@g.bracu.ac.bd</t>
  </si>
  <si>
    <t>Shahida Rahman</t>
  </si>
  <si>
    <t>shahida.rahman@g.bracu.ac.bd</t>
  </si>
  <si>
    <t>Samin Yasar Nafi</t>
  </si>
  <si>
    <t>samin.yasar.nafi@g.bracu.ac.bd</t>
  </si>
  <si>
    <t>Samin Nuzaima</t>
  </si>
  <si>
    <t>samin.nuzaima@g.bracu.ac.bd</t>
  </si>
  <si>
    <t>Kazi Yasin Hridoy</t>
  </si>
  <si>
    <t>kazi.yasin.hridoy@g.bracu.ac.bd</t>
  </si>
  <si>
    <t>Al Jayed Rup</t>
  </si>
  <si>
    <t>al.jayed.rup@g.bracu.ac.bd</t>
  </si>
  <si>
    <t>G.M.A Alimul Hayat Shaikot.</t>
  </si>
  <si>
    <t>gma.alimul.hayat@g.bracu.ac.bd</t>
  </si>
  <si>
    <t>BRAC University</t>
  </si>
  <si>
    <t>Final Grade Sheet</t>
  </si>
  <si>
    <t>Summer 2025</t>
  </si>
  <si>
    <t>Department/ School: CSE</t>
  </si>
  <si>
    <t>Course No :</t>
  </si>
  <si>
    <t>CSE 221</t>
  </si>
  <si>
    <t xml:space="preserve">Course Title: </t>
  </si>
  <si>
    <t>Algorithms</t>
  </si>
  <si>
    <t>Section:</t>
  </si>
  <si>
    <t xml:space="preserve">Faculty Name: </t>
  </si>
  <si>
    <t>Abdullah Al Nakib</t>
  </si>
  <si>
    <t>Sl #</t>
  </si>
  <si>
    <t>ID #</t>
  </si>
  <si>
    <t>Atten.</t>
  </si>
  <si>
    <t>Quiz</t>
  </si>
  <si>
    <t>Assig.</t>
  </si>
  <si>
    <t>Lab</t>
  </si>
  <si>
    <t>Midterm</t>
  </si>
  <si>
    <t>Project 1</t>
  </si>
  <si>
    <t>Project 2</t>
  </si>
  <si>
    <t>Final</t>
  </si>
  <si>
    <t>Total</t>
  </si>
  <si>
    <t>Grades</t>
  </si>
  <si>
    <t>Suffix</t>
  </si>
  <si>
    <t>(with suffix)</t>
  </si>
  <si>
    <t>(in words)</t>
  </si>
  <si>
    <t>Student ID</t>
  </si>
  <si>
    <t>Lab  (25)</t>
  </si>
  <si>
    <t>Total        (out of 100)</t>
  </si>
  <si>
    <t>CO2</t>
  </si>
  <si>
    <t>CO1</t>
  </si>
  <si>
    <t>CO3</t>
  </si>
  <si>
    <t>Midterm (35)</t>
  </si>
  <si>
    <t>Midterm (20)</t>
  </si>
  <si>
    <t>1 a, b, c (10)</t>
  </si>
  <si>
    <t>2 a,b,c (9)</t>
  </si>
  <si>
    <t>2 d(1)</t>
  </si>
  <si>
    <t>3 a, b(5)</t>
  </si>
  <si>
    <t>4a(4)</t>
  </si>
  <si>
    <t>4 b, c(6)</t>
  </si>
  <si>
    <t>Final out of 40</t>
  </si>
  <si>
    <t>Final(30)</t>
  </si>
  <si>
    <t>1 a,b,c,d CO1       Marks 10</t>
  </si>
  <si>
    <t>2 a, c CO1    Marks 6</t>
  </si>
  <si>
    <t>2 b CO3        Marks 2</t>
  </si>
  <si>
    <t>2 d CO2        Marks 2</t>
  </si>
  <si>
    <t>3 a CO1        Marks 5</t>
  </si>
  <si>
    <t>3 b CO2        Marks 3</t>
  </si>
  <si>
    <t>3 c CO3        Marks 2</t>
  </si>
  <si>
    <t>4 CO1      marks 10</t>
  </si>
  <si>
    <t>Quiz 1   (out of 10)</t>
  </si>
  <si>
    <t>Quiz 2   (out of 10)</t>
  </si>
  <si>
    <t>Quiz 3 (out of 10)</t>
  </si>
  <si>
    <t>Quiz 4   (out of 10)</t>
  </si>
  <si>
    <t>Bonus</t>
  </si>
  <si>
    <t>Overall Quiz score   (Out of 20)           best (n-1)  with bonus</t>
  </si>
  <si>
    <t>Overall Quiz score   (Out of 20)           best (n-1) without bonus</t>
  </si>
  <si>
    <t>A1</t>
  </si>
  <si>
    <t>A2</t>
  </si>
  <si>
    <t>A3</t>
  </si>
  <si>
    <t>A4</t>
  </si>
  <si>
    <t>Assignment    (out of 5)</t>
  </si>
  <si>
    <t>Student</t>
  </si>
  <si>
    <t>Assign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</si>
</sst>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(\ #\ %\)"/>
    <numFmt numFmtId="165" formatCode="\(0.00\)"/>
  </numFmts>
  <fonts count="28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2.0"/>
      <color rgb="FF000000"/>
      <name val="Arial"/>
    </font>
    <font>
      <color rgb="FF000000"/>
      <name val="Calibri"/>
      <scheme val="minor"/>
    </font>
    <font>
      <color rgb="FF000000"/>
      <name val="Arial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Arial"/>
    </font>
    <font>
      <b/>
      <sz val="8.0"/>
      <color theme="1"/>
      <name val="Tahoma"/>
    </font>
    <font>
      <i/>
      <sz val="8.0"/>
      <color theme="1"/>
      <name val="Tahoma"/>
    </font>
    <font>
      <b/>
      <sz val="8.0"/>
      <color theme="1"/>
      <name val="Arial"/>
    </font>
    <font>
      <sz val="8.0"/>
      <color theme="1"/>
      <name val="Arial"/>
    </font>
    <font>
      <sz val="11.0"/>
      <color theme="1"/>
      <name val="Calibri"/>
    </font>
    <font>
      <sz val="11.0"/>
      <color theme="1"/>
      <name val="Tahoma"/>
    </font>
    <font>
      <b/>
      <sz val="12.0"/>
      <color theme="1"/>
      <name val="Arial"/>
    </font>
    <font>
      <sz val="11.0"/>
      <color theme="1"/>
      <name val="Roboto"/>
    </font>
    <font>
      <sz val="12.0"/>
      <color theme="1"/>
      <name val="Arial"/>
    </font>
    <font>
      <sz val="11.0"/>
      <color rgb="FF000000"/>
      <name val="Roboto"/>
    </font>
    <font>
      <sz val="12.0"/>
      <color rgb="FF000000"/>
      <name val="Arial"/>
    </font>
    <font>
      <b/>
      <sz val="12.0"/>
      <color rgb="FF000000"/>
      <name val="Calibri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</font>
    <font>
      <sz val="8.0"/>
      <color theme="1"/>
      <name val="Tahoma"/>
    </font>
    <font>
      <color theme="1"/>
      <name val="Arial"/>
    </font>
    <font>
      <b/>
      <i/>
      <sz val="8.0"/>
      <color theme="1"/>
      <name val="Tahoma"/>
    </font>
    <font>
      <sz val="10.0"/>
      <color rgb="FF000000"/>
      <name val="Tahoma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left" readingOrder="0" vertical="bottom"/>
    </xf>
    <xf borderId="3" fillId="2" fontId="4" numFmtId="0" xfId="0" applyAlignment="1" applyBorder="1" applyFont="1">
      <alignment horizontal="left" readingOrder="0" shrinkToFit="0" vertical="bottom" wrapText="0"/>
    </xf>
    <xf borderId="1" fillId="0" fontId="3" numFmtId="49" xfId="0" applyAlignment="1" applyBorder="1" applyFont="1" applyNumberFormat="1">
      <alignment horizontal="left" readingOrder="0"/>
    </xf>
    <xf borderId="0" fillId="0" fontId="5" numFmtId="49" xfId="0" applyAlignment="1" applyFont="1" applyNumberFormat="1">
      <alignment horizontal="left" shrinkToFit="0" vertical="bottom" wrapText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6" numFmtId="0" xfId="0" applyFont="1"/>
    <xf borderId="0" fillId="0" fontId="7" numFmtId="49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right"/>
    </xf>
    <xf borderId="1" fillId="0" fontId="10" numFmtId="49" xfId="0" applyAlignment="1" applyBorder="1" applyFont="1" applyNumberForma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0" fontId="12" numFmtId="49" xfId="0" applyAlignment="1" applyBorder="1" applyFont="1" applyNumberFormat="1">
      <alignment vertical="bottom"/>
    </xf>
    <xf borderId="1" fillId="0" fontId="12" numFmtId="0" xfId="0" applyAlignment="1" applyBorder="1" applyFont="1">
      <alignment vertical="bottom"/>
    </xf>
    <xf borderId="1" fillId="0" fontId="10" numFmtId="164" xfId="0" applyAlignment="1" applyBorder="1" applyFont="1" applyNumberFormat="1">
      <alignment horizontal="center" vertical="bottom"/>
    </xf>
    <xf borderId="1" fillId="0" fontId="10" numFmtId="165" xfId="0" applyAlignment="1" applyBorder="1" applyFont="1" applyNumberFormat="1">
      <alignment horizontal="center" vertical="bottom"/>
    </xf>
    <xf borderId="4" fillId="0" fontId="13" numFmtId="0" xfId="0" applyAlignment="1" applyBorder="1" applyFont="1">
      <alignment horizontal="right" vertical="bottom"/>
    </xf>
    <xf borderId="4" fillId="2" fontId="7" numFmtId="49" xfId="0" applyAlignment="1" applyBorder="1" applyFont="1" applyNumberFormat="1">
      <alignment horizontal="center" vertical="bottom"/>
    </xf>
    <xf borderId="4" fillId="2" fontId="7" numFmtId="0" xfId="0" applyAlignment="1" applyBorder="1" applyFont="1">
      <alignment horizontal="right" vertical="bottom"/>
    </xf>
    <xf borderId="1" fillId="0" fontId="13" numFmtId="0" xfId="0" applyAlignment="1" applyBorder="1" applyFont="1">
      <alignment horizontal="right" vertical="bottom"/>
    </xf>
    <xf borderId="4" fillId="0" fontId="7" numFmtId="0" xfId="0" applyAlignment="1" applyBorder="1" applyFont="1">
      <alignment horizontal="center" vertical="bottom"/>
    </xf>
    <xf borderId="0" fillId="0" fontId="6" numFmtId="0" xfId="0" applyFont="1"/>
    <xf borderId="1" fillId="2" fontId="13" numFmtId="0" xfId="0" applyAlignment="1" applyBorder="1" applyFont="1">
      <alignment horizontal="right" vertical="bottom"/>
    </xf>
    <xf borderId="4" fillId="2" fontId="13" numFmtId="0" xfId="0" applyAlignment="1" applyBorder="1" applyFont="1">
      <alignment horizontal="right" vertical="bottom"/>
    </xf>
    <xf borderId="4" fillId="2" fontId="7" numFmtId="0" xfId="0" applyAlignment="1" applyBorder="1" applyFont="1">
      <alignment horizontal="center" vertical="bottom"/>
    </xf>
    <xf borderId="1" fillId="2" fontId="14" numFmtId="0" xfId="0" applyAlignment="1" applyBorder="1" applyFont="1">
      <alignment horizontal="center" readingOrder="0" shrinkToFit="0" vertical="top" wrapText="1"/>
    </xf>
    <xf borderId="1" fillId="2" fontId="14" numFmtId="0" xfId="0" applyAlignment="1" applyBorder="1" applyFont="1">
      <alignment horizontal="left" shrinkToFit="0" vertical="top" wrapText="1"/>
    </xf>
    <xf borderId="1" fillId="2" fontId="14" numFmtId="0" xfId="0" applyAlignment="1" applyBorder="1" applyFont="1">
      <alignment horizontal="center" shrinkToFit="0" vertical="top" wrapText="1"/>
    </xf>
    <xf borderId="1" fillId="3" fontId="14" numFmtId="0" xfId="0" applyAlignment="1" applyBorder="1" applyFill="1" applyFont="1">
      <alignment horizontal="center" readingOrder="0" shrinkToFit="0" vertical="top" wrapText="1"/>
    </xf>
    <xf borderId="1" fillId="4" fontId="15" numFmtId="49" xfId="0" applyAlignment="1" applyBorder="1" applyFill="1" applyFont="1" applyNumberFormat="1">
      <alignment horizontal="center" vertical="top"/>
    </xf>
    <xf borderId="1" fillId="4" fontId="15" numFmtId="49" xfId="0" applyAlignment="1" applyBorder="1" applyFont="1" applyNumberFormat="1">
      <alignment horizontal="left" vertical="top"/>
    </xf>
    <xf borderId="1" fillId="4" fontId="16" numFmtId="0" xfId="0" applyAlignment="1" applyBorder="1" applyFont="1">
      <alignment horizontal="center" shrinkToFit="0" vertical="top" wrapText="1"/>
    </xf>
    <xf borderId="1" fillId="5" fontId="15" numFmtId="0" xfId="0" applyAlignment="1" applyBorder="1" applyFill="1" applyFont="1">
      <alignment horizontal="center" vertical="top"/>
    </xf>
    <xf borderId="1" fillId="4" fontId="17" numFmtId="49" xfId="0" applyAlignment="1" applyBorder="1" applyFont="1" applyNumberFormat="1">
      <alignment horizontal="center" vertical="top"/>
    </xf>
    <xf borderId="1" fillId="4" fontId="17" numFmtId="49" xfId="0" applyAlignment="1" applyBorder="1" applyFont="1" applyNumberFormat="1">
      <alignment horizontal="left" vertical="top"/>
    </xf>
    <xf borderId="1" fillId="4" fontId="18" numFmtId="0" xfId="0" applyAlignment="1" applyBorder="1" applyFont="1">
      <alignment horizontal="center" shrinkToFit="0" vertical="top" wrapText="1"/>
    </xf>
    <xf borderId="1" fillId="4" fontId="16" numFmtId="0" xfId="0" applyAlignment="1" applyBorder="1" applyFont="1">
      <alignment horizontal="center" readingOrder="0" shrinkToFit="0" vertical="top" wrapText="1"/>
    </xf>
    <xf borderId="0" fillId="2" fontId="7" numFmtId="0" xfId="0" applyAlignment="1" applyFont="1">
      <alignment horizontal="right" vertical="bottom"/>
    </xf>
    <xf borderId="0" fillId="0" fontId="6" numFmtId="0" xfId="0" applyAlignment="1" applyFont="1">
      <alignment horizontal="left"/>
    </xf>
    <xf borderId="0" fillId="0" fontId="19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1" fillId="0" fontId="5" numFmtId="0" xfId="0" applyAlignment="1" applyBorder="1" applyFont="1">
      <alignment horizontal="right" readingOrder="0" shrinkToFit="0" wrapText="0"/>
    </xf>
    <xf borderId="0" fillId="0" fontId="6" numFmtId="0" xfId="0" applyAlignment="1" applyFont="1">
      <alignment readingOrder="0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horizontal="right" readingOrder="0" vertical="bottom"/>
    </xf>
    <xf borderId="0" fillId="0" fontId="12" numFmtId="0" xfId="0" applyAlignment="1" applyFont="1">
      <alignment readingOrder="0" vertical="bottom"/>
    </xf>
    <xf borderId="1" fillId="6" fontId="5" numFmtId="0" xfId="0" applyAlignment="1" applyBorder="1" applyFill="1" applyFont="1">
      <alignment horizontal="right" readingOrder="0" shrinkToFit="0" wrapText="0"/>
    </xf>
    <xf borderId="0" fillId="6" fontId="6" numFmtId="0" xfId="0" applyFont="1"/>
    <xf borderId="0" fillId="6" fontId="6" numFmtId="0" xfId="0" applyAlignment="1" applyFont="1">
      <alignment readingOrder="0"/>
    </xf>
    <xf borderId="0" fillId="6" fontId="12" numFmtId="0" xfId="0" applyAlignment="1" applyFont="1">
      <alignment horizontal="right" vertical="bottom"/>
    </xf>
    <xf borderId="0" fillId="2" fontId="6" numFmtId="0" xfId="0" applyFont="1"/>
    <xf borderId="0" fillId="0" fontId="12" numFmtId="0" xfId="0" applyAlignment="1" applyFont="1">
      <alignment horizontal="right" readingOrder="0" vertical="bottom"/>
    </xf>
    <xf borderId="1" fillId="0" fontId="5" numFmtId="49" xfId="0" applyAlignment="1" applyBorder="1" applyFont="1" applyNumberFormat="1">
      <alignment horizontal="right" readingOrder="0" shrinkToFit="0" wrapText="0"/>
    </xf>
    <xf borderId="0" fillId="0" fontId="1" numFmtId="0" xfId="0" applyAlignment="1" applyFont="1">
      <alignment horizontal="center" vertical="bottom"/>
    </xf>
    <xf borderId="1" fillId="2" fontId="19" numFmtId="0" xfId="0" applyAlignment="1" applyBorder="1" applyFont="1">
      <alignment horizontal="center" readingOrder="0" shrinkToFit="0" wrapText="1"/>
    </xf>
    <xf borderId="1" fillId="2" fontId="19" numFmtId="0" xfId="0" applyAlignment="1" applyBorder="1" applyFont="1">
      <alignment horizontal="right" readingOrder="0" shrinkToFit="0" wrapText="1"/>
    </xf>
    <xf borderId="1" fillId="2" fontId="20" numFmtId="0" xfId="0" applyAlignment="1" applyBorder="1" applyFont="1">
      <alignment horizontal="center" readingOrder="0" shrinkToFit="0" wrapText="1"/>
    </xf>
    <xf borderId="1" fillId="2" fontId="22" numFmtId="0" xfId="0" applyAlignment="1" applyBorder="1" applyFont="1">
      <alignment horizontal="center" shrinkToFit="0" vertical="bottom" wrapText="1"/>
    </xf>
    <xf borderId="1" fillId="5" fontId="22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7" fontId="12" numFmtId="0" xfId="0" applyAlignment="1" applyBorder="1" applyFill="1" applyFont="1">
      <alignment horizontal="right" vertical="bottom"/>
    </xf>
    <xf borderId="1" fillId="5" fontId="12" numFmtId="0" xfId="0" applyAlignment="1" applyBorder="1" applyFont="1">
      <alignment horizontal="right" vertical="bottom"/>
    </xf>
    <xf borderId="5" fillId="7" fontId="12" numFmtId="0" xfId="0" applyAlignment="1" applyBorder="1" applyFont="1">
      <alignment horizontal="right" vertical="bottom"/>
    </xf>
    <xf borderId="5" fillId="5" fontId="12" numFmtId="0" xfId="0" applyAlignment="1" applyBorder="1" applyFont="1">
      <alignment horizontal="right" vertical="bottom"/>
    </xf>
    <xf borderId="1" fillId="0" fontId="21" numFmtId="0" xfId="0" applyAlignment="1" applyBorder="1" applyFont="1">
      <alignment readingOrder="0"/>
    </xf>
    <xf borderId="1" fillId="0" fontId="21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readingOrder="0"/>
    </xf>
    <xf borderId="5" fillId="0" fontId="6" numFmtId="49" xfId="0" applyAlignment="1" applyBorder="1" applyFont="1" applyNumberFormat="1">
      <alignment readingOrder="0"/>
    </xf>
    <xf borderId="1" fillId="2" fontId="14" numFmtId="49" xfId="0" applyAlignment="1" applyBorder="1" applyFont="1" applyNumberFormat="1">
      <alignment horizontal="center"/>
    </xf>
    <xf borderId="0" fillId="0" fontId="11" numFmtId="49" xfId="0" applyAlignment="1" applyFont="1" applyNumberFormat="1">
      <alignment horizontal="center" vertical="center"/>
    </xf>
    <xf borderId="0" fillId="0" fontId="23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24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25" numFmtId="49" xfId="0" applyAlignment="1" applyFont="1" applyNumberFormat="1">
      <alignment horizontal="left" vertical="center"/>
    </xf>
    <xf borderId="0" fillId="0" fontId="8" numFmtId="0" xfId="0" applyAlignment="1" applyFont="1">
      <alignment horizontal="left" vertical="center"/>
    </xf>
    <xf borderId="1" fillId="0" fontId="10" numFmtId="49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10" numFmtId="164" xfId="0" applyAlignment="1" applyBorder="1" applyFont="1" applyNumberFormat="1">
      <alignment horizontal="center" vertical="center"/>
    </xf>
    <xf borderId="1" fillId="0" fontId="10" numFmtId="165" xfId="0" applyAlignment="1" applyBorder="1" applyFont="1" applyNumberFormat="1">
      <alignment horizontal="center" vertical="center"/>
    </xf>
    <xf borderId="4" fillId="0" fontId="26" numFmtId="0" xfId="0" applyAlignment="1" applyBorder="1" applyFont="1">
      <alignment readingOrder="0" vertical="center"/>
    </xf>
    <xf borderId="4" fillId="0" fontId="26" numFmtId="0" xfId="0" applyAlignment="1" applyBorder="1" applyFont="1">
      <alignment horizontal="left" vertical="center"/>
    </xf>
    <xf borderId="4" fillId="0" fontId="26" numFmtId="0" xfId="0" applyAlignment="1" applyBorder="1" applyFont="1">
      <alignment vertical="center"/>
    </xf>
    <xf borderId="1" fillId="0" fontId="26" numFmtId="0" xfId="0" applyAlignment="1" applyBorder="1" applyFont="1">
      <alignment vertical="center"/>
    </xf>
    <xf borderId="4" fillId="0" fontId="27" numFmtId="0" xfId="0" applyAlignment="1" applyBorder="1" applyFont="1">
      <alignment horizontal="center" vertical="center"/>
    </xf>
    <xf borderId="1" fillId="0" fontId="26" numFmtId="0" xfId="0" applyAlignment="1" applyBorder="1" applyFont="1">
      <alignment readingOrder="0" vertical="center"/>
    </xf>
    <xf borderId="5" fillId="0" fontId="26" numFmtId="0" xfId="0" applyAlignment="1" applyBorder="1" applyFont="1">
      <alignment vertical="center"/>
    </xf>
    <xf borderId="6" fillId="0" fontId="26" numFmtId="0" xfId="0" applyAlignment="1" applyBorder="1" applyFont="1">
      <alignment vertical="center"/>
    </xf>
    <xf borderId="6" fillId="0" fontId="27" numFmtId="0" xfId="0" applyAlignment="1" applyBorder="1" applyFont="1">
      <alignment horizontal="center" vertical="center"/>
    </xf>
    <xf borderId="7" fillId="0" fontId="26" numFmtId="0" xfId="0" applyAlignment="1" applyBorder="1" applyFont="1">
      <alignment vertical="center"/>
    </xf>
    <xf borderId="7" fillId="0" fontId="27" numFmtId="0" xfId="0" applyAlignment="1" applyBorder="1" applyFont="1">
      <alignment horizontal="center" vertical="center"/>
    </xf>
    <xf borderId="0" fillId="0" fontId="26" numFmtId="0" xfId="0" applyAlignment="1" applyFont="1">
      <alignment vertical="center"/>
    </xf>
    <xf borderId="0" fillId="0" fontId="27" numFmtId="0" xfId="0" applyAlignment="1" applyFont="1">
      <alignment horizontal="center" vertical="center"/>
    </xf>
    <xf borderId="4" fillId="0" fontId="26" numFmtId="0" xfId="0" applyAlignment="1" applyBorder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6" numFmtId="49" xfId="0" applyAlignment="1" applyFont="1" applyNumberFormat="1">
      <alignment horizontal="center" vertical="center"/>
    </xf>
    <xf borderId="0" fillId="0" fontId="27" numFmtId="49" xfId="0" applyAlignment="1" applyFont="1" applyNumberFormat="1">
      <alignment vertical="center"/>
    </xf>
    <xf borderId="0" fillId="0" fontId="2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4.71"/>
    <col customWidth="1" min="3" max="3" width="45.71"/>
    <col customWidth="1" min="4" max="4" width="17.14"/>
    <col customWidth="1" min="5" max="5" width="19.0"/>
    <col customWidth="1" min="6" max="6" width="20.43"/>
    <col customWidth="1" min="7" max="7" width="23.14"/>
    <col customWidth="1" min="8" max="8" width="30.0"/>
    <col customWidth="1" min="9" max="24" width="8.71"/>
  </cols>
  <sheetData>
    <row r="1" ht="14.25" customHeight="1">
      <c r="A1" s="1" t="s">
        <v>0</v>
      </c>
      <c r="B1" s="1" t="s">
        <v>1</v>
      </c>
      <c r="C1" s="1"/>
      <c r="D1" s="1"/>
      <c r="E1" s="1"/>
      <c r="F1" s="2"/>
      <c r="G1" s="2"/>
      <c r="H1" s="2"/>
    </row>
    <row r="2" ht="14.25" customHeight="1">
      <c r="A2" s="3">
        <v>2.0301033E7</v>
      </c>
      <c r="B2" s="4" t="s">
        <v>2</v>
      </c>
      <c r="C2" s="4" t="s">
        <v>3</v>
      </c>
      <c r="D2" s="4" t="s">
        <v>4</v>
      </c>
      <c r="E2" s="4">
        <v>1.859967435E9</v>
      </c>
      <c r="F2" s="4" t="s">
        <v>5</v>
      </c>
      <c r="G2" s="5"/>
      <c r="H2" s="5"/>
      <c r="I2" s="5"/>
    </row>
    <row r="3" ht="14.25" customHeight="1">
      <c r="A3" s="3">
        <v>2.2101425E7</v>
      </c>
      <c r="B3" s="4" t="s">
        <v>6</v>
      </c>
      <c r="C3" s="4" t="s">
        <v>3</v>
      </c>
      <c r="D3" s="4" t="s">
        <v>7</v>
      </c>
      <c r="E3" s="4">
        <v>1.700628562E9</v>
      </c>
      <c r="F3" s="4" t="s">
        <v>8</v>
      </c>
      <c r="G3" s="5"/>
      <c r="H3" s="5"/>
      <c r="I3" s="5"/>
    </row>
    <row r="4" ht="14.25" customHeight="1">
      <c r="A4" s="3">
        <v>2.2101748E7</v>
      </c>
      <c r="B4" s="4" t="s">
        <v>9</v>
      </c>
      <c r="C4" s="4" t="s">
        <v>10</v>
      </c>
      <c r="D4" s="4" t="s">
        <v>7</v>
      </c>
      <c r="E4" s="4">
        <v>1.566086142E9</v>
      </c>
      <c r="F4" s="4" t="s">
        <v>11</v>
      </c>
      <c r="G4" s="5"/>
      <c r="H4" s="5"/>
      <c r="I4" s="5"/>
    </row>
    <row r="5" ht="14.25" customHeight="1">
      <c r="A5" s="3">
        <v>2.2299296E7</v>
      </c>
      <c r="B5" s="4" t="s">
        <v>12</v>
      </c>
      <c r="C5" s="4" t="s">
        <v>3</v>
      </c>
      <c r="D5" s="4" t="s">
        <v>7</v>
      </c>
      <c r="E5" s="4">
        <v>1.75848524E9</v>
      </c>
      <c r="F5" s="4" t="s">
        <v>13</v>
      </c>
      <c r="G5" s="5"/>
      <c r="H5" s="5"/>
      <c r="I5" s="5"/>
    </row>
    <row r="6" ht="14.25" customHeight="1">
      <c r="A6" s="3">
        <v>2.3101075E7</v>
      </c>
      <c r="B6" s="4" t="s">
        <v>14</v>
      </c>
      <c r="C6" s="4" t="s">
        <v>10</v>
      </c>
      <c r="D6" s="4" t="s">
        <v>7</v>
      </c>
      <c r="E6" s="4">
        <v>1.754757153E9</v>
      </c>
      <c r="F6" s="4" t="s">
        <v>15</v>
      </c>
      <c r="G6" s="5"/>
      <c r="H6" s="5"/>
      <c r="I6" s="5"/>
    </row>
    <row r="7" ht="14.25" customHeight="1">
      <c r="A7" s="3">
        <v>2.3101101E7</v>
      </c>
      <c r="B7" s="4" t="s">
        <v>16</v>
      </c>
      <c r="C7" s="4" t="s">
        <v>10</v>
      </c>
      <c r="D7" s="4" t="s">
        <v>7</v>
      </c>
      <c r="E7" s="4">
        <v>1.613056655E9</v>
      </c>
      <c r="F7" s="4" t="s">
        <v>17</v>
      </c>
      <c r="G7" s="5"/>
      <c r="H7" s="5"/>
      <c r="I7" s="5"/>
    </row>
    <row r="8" ht="14.25" customHeight="1">
      <c r="A8" s="3">
        <v>2.3101271E7</v>
      </c>
      <c r="B8" s="4" t="s">
        <v>18</v>
      </c>
      <c r="C8" s="4" t="s">
        <v>3</v>
      </c>
      <c r="D8" s="4" t="s">
        <v>4</v>
      </c>
      <c r="E8" s="4">
        <v>1.877698491E9</v>
      </c>
      <c r="F8" s="4" t="s">
        <v>19</v>
      </c>
      <c r="G8" s="5"/>
      <c r="H8" s="5"/>
      <c r="I8" s="5"/>
    </row>
    <row r="9" ht="14.25" customHeight="1">
      <c r="A9" s="3">
        <v>2.3101378E7</v>
      </c>
      <c r="B9" s="4" t="s">
        <v>20</v>
      </c>
      <c r="C9" s="4" t="s">
        <v>3</v>
      </c>
      <c r="D9" s="4" t="s">
        <v>7</v>
      </c>
      <c r="E9" s="4">
        <v>1.648547158E9</v>
      </c>
      <c r="F9" s="4" t="s">
        <v>21</v>
      </c>
      <c r="G9" s="5"/>
      <c r="H9" s="5"/>
      <c r="I9" s="5"/>
    </row>
    <row r="10" ht="14.25" customHeight="1">
      <c r="A10" s="3">
        <v>2.3141047E7</v>
      </c>
      <c r="B10" s="4" t="s">
        <v>22</v>
      </c>
      <c r="C10" s="4" t="s">
        <v>3</v>
      </c>
      <c r="D10" s="4" t="s">
        <v>4</v>
      </c>
      <c r="E10" s="4">
        <v>1.86674441E9</v>
      </c>
      <c r="F10" s="4" t="s">
        <v>23</v>
      </c>
      <c r="G10" s="5"/>
      <c r="H10" s="5"/>
      <c r="I10" s="5"/>
    </row>
    <row r="11" ht="14.25" customHeight="1">
      <c r="A11" s="3">
        <v>2.3201093E7</v>
      </c>
      <c r="B11" s="4" t="s">
        <v>24</v>
      </c>
      <c r="C11" s="4" t="s">
        <v>3</v>
      </c>
      <c r="D11" s="4" t="s">
        <v>7</v>
      </c>
      <c r="E11" s="4">
        <v>1.405196982E9</v>
      </c>
      <c r="F11" s="4" t="s">
        <v>25</v>
      </c>
      <c r="G11" s="5"/>
      <c r="H11" s="5"/>
      <c r="I11" s="5"/>
    </row>
    <row r="12" ht="14.25" customHeight="1">
      <c r="A12" s="3">
        <v>2.3201659E7</v>
      </c>
      <c r="B12" s="4" t="s">
        <v>26</v>
      </c>
      <c r="C12" s="4" t="s">
        <v>10</v>
      </c>
      <c r="D12" s="4" t="s">
        <v>7</v>
      </c>
      <c r="E12" s="4">
        <v>1.929122929E9</v>
      </c>
      <c r="F12" s="4" t="s">
        <v>27</v>
      </c>
      <c r="G12" s="5"/>
      <c r="H12" s="5"/>
      <c r="I12" s="5"/>
    </row>
    <row r="13" ht="14.25" customHeight="1">
      <c r="A13" s="3">
        <v>2.330141E7</v>
      </c>
      <c r="B13" s="4" t="s">
        <v>28</v>
      </c>
      <c r="C13" s="4" t="s">
        <v>3</v>
      </c>
      <c r="D13" s="4" t="s">
        <v>7</v>
      </c>
      <c r="E13" s="4">
        <v>1.733986999E9</v>
      </c>
      <c r="F13" s="4" t="s">
        <v>29</v>
      </c>
      <c r="G13" s="5"/>
      <c r="H13" s="5"/>
      <c r="I13" s="5"/>
    </row>
    <row r="14" ht="14.25" customHeight="1">
      <c r="A14" s="3">
        <v>2.3301602E7</v>
      </c>
      <c r="B14" s="4" t="s">
        <v>30</v>
      </c>
      <c r="C14" s="4" t="s">
        <v>3</v>
      </c>
      <c r="D14" s="4" t="s">
        <v>4</v>
      </c>
      <c r="E14" s="3">
        <v>8.801733804272E12</v>
      </c>
      <c r="F14" s="4" t="s">
        <v>31</v>
      </c>
      <c r="G14" s="5"/>
      <c r="H14" s="5"/>
      <c r="I14" s="5"/>
    </row>
    <row r="15" ht="14.25" customHeight="1">
      <c r="A15" s="3">
        <v>2.410139E7</v>
      </c>
      <c r="B15" s="4" t="s">
        <v>32</v>
      </c>
      <c r="C15" s="4" t="s">
        <v>3</v>
      </c>
      <c r="D15" s="4" t="s">
        <v>7</v>
      </c>
      <c r="E15" s="4">
        <v>1.677265116E9</v>
      </c>
      <c r="F15" s="4" t="s">
        <v>33</v>
      </c>
      <c r="G15" s="5"/>
      <c r="H15" s="5"/>
      <c r="I15" s="5"/>
    </row>
    <row r="16" ht="14.25" customHeight="1">
      <c r="A16" s="3">
        <v>2.4101392E7</v>
      </c>
      <c r="B16" s="4" t="s">
        <v>34</v>
      </c>
      <c r="C16" s="4" t="s">
        <v>3</v>
      </c>
      <c r="D16" s="4" t="s">
        <v>4</v>
      </c>
      <c r="E16" s="4">
        <v>1.537426054E9</v>
      </c>
      <c r="F16" s="4" t="s">
        <v>35</v>
      </c>
      <c r="G16" s="5"/>
      <c r="H16" s="5"/>
      <c r="I16" s="5"/>
    </row>
    <row r="17" ht="14.25" customHeight="1">
      <c r="A17" s="3">
        <v>2.4101431E7</v>
      </c>
      <c r="B17" s="4" t="s">
        <v>36</v>
      </c>
      <c r="C17" s="4" t="s">
        <v>3</v>
      </c>
      <c r="D17" s="4" t="s">
        <v>7</v>
      </c>
      <c r="E17" s="4">
        <v>1.87774007E9</v>
      </c>
      <c r="F17" s="4" t="s">
        <v>37</v>
      </c>
      <c r="G17" s="5"/>
      <c r="H17" s="5"/>
      <c r="I17" s="5"/>
    </row>
    <row r="18" ht="14.25" customHeight="1">
      <c r="A18" s="3">
        <v>2.4101442E7</v>
      </c>
      <c r="B18" s="4" t="s">
        <v>38</v>
      </c>
      <c r="C18" s="4" t="s">
        <v>3</v>
      </c>
      <c r="D18" s="4" t="s">
        <v>7</v>
      </c>
      <c r="E18" s="4">
        <v>1.660187125E9</v>
      </c>
      <c r="F18" s="4" t="s">
        <v>39</v>
      </c>
      <c r="G18" s="5"/>
      <c r="H18" s="5"/>
      <c r="I18" s="5"/>
    </row>
    <row r="19" ht="14.25" customHeight="1">
      <c r="A19" s="3">
        <v>2.4121353E7</v>
      </c>
      <c r="B19" s="4" t="s">
        <v>40</v>
      </c>
      <c r="C19" s="4" t="s">
        <v>3</v>
      </c>
      <c r="D19" s="4" t="s">
        <v>41</v>
      </c>
      <c r="E19" s="3">
        <v>8.80170386214E12</v>
      </c>
      <c r="F19" s="4" t="s">
        <v>42</v>
      </c>
      <c r="G19" s="5"/>
      <c r="H19" s="5"/>
      <c r="I19" s="5"/>
    </row>
    <row r="20" ht="14.25" customHeight="1">
      <c r="A20" s="3">
        <v>2.4141008E7</v>
      </c>
      <c r="B20" s="4" t="s">
        <v>43</v>
      </c>
      <c r="C20" s="4" t="s">
        <v>3</v>
      </c>
      <c r="D20" s="4" t="s">
        <v>4</v>
      </c>
      <c r="E20" s="4">
        <v>1.857121509E9</v>
      </c>
      <c r="F20" s="4" t="s">
        <v>44</v>
      </c>
      <c r="G20" s="5"/>
      <c r="H20" s="5"/>
      <c r="I20" s="5"/>
    </row>
    <row r="21" ht="14.25" customHeight="1">
      <c r="A21" s="3">
        <v>2.4141155E7</v>
      </c>
      <c r="B21" s="4" t="s">
        <v>45</v>
      </c>
      <c r="C21" s="4" t="s">
        <v>3</v>
      </c>
      <c r="D21" s="4" t="s">
        <v>4</v>
      </c>
      <c r="E21" s="4">
        <v>1.786820409E9</v>
      </c>
      <c r="F21" s="4" t="s">
        <v>46</v>
      </c>
      <c r="G21" s="5"/>
      <c r="H21" s="5"/>
      <c r="I21" s="5"/>
    </row>
    <row r="22" ht="14.25" customHeight="1">
      <c r="A22" s="3">
        <v>2.420109E7</v>
      </c>
      <c r="B22" s="4" t="s">
        <v>47</v>
      </c>
      <c r="C22" s="4" t="s">
        <v>3</v>
      </c>
      <c r="D22" s="4" t="s">
        <v>7</v>
      </c>
      <c r="E22" s="4">
        <v>1.994777424E9</v>
      </c>
      <c r="F22" s="4" t="s">
        <v>48</v>
      </c>
      <c r="G22" s="5"/>
      <c r="H22" s="5"/>
      <c r="I22" s="5"/>
    </row>
    <row r="23" ht="14.25" customHeight="1">
      <c r="A23" s="3">
        <v>2.4201165E7</v>
      </c>
      <c r="B23" s="4" t="s">
        <v>49</v>
      </c>
      <c r="C23" s="4" t="s">
        <v>10</v>
      </c>
      <c r="D23" s="4" t="s">
        <v>7</v>
      </c>
      <c r="E23" s="4">
        <v>1.729595909E9</v>
      </c>
      <c r="F23" s="4" t="s">
        <v>50</v>
      </c>
      <c r="G23" s="5"/>
      <c r="H23" s="5"/>
      <c r="I23" s="5"/>
    </row>
    <row r="24" ht="14.25" customHeight="1">
      <c r="A24" s="3">
        <v>2.4201176E7</v>
      </c>
      <c r="B24" s="4" t="s">
        <v>51</v>
      </c>
      <c r="C24" s="4" t="s">
        <v>3</v>
      </c>
      <c r="D24" s="4" t="s">
        <v>7</v>
      </c>
      <c r="E24" s="4">
        <v>1.322248017E9</v>
      </c>
      <c r="F24" s="4" t="s">
        <v>52</v>
      </c>
      <c r="G24" s="5"/>
      <c r="H24" s="5"/>
      <c r="I24" s="5"/>
    </row>
    <row r="25" ht="14.25" customHeight="1">
      <c r="A25" s="3">
        <v>2.4201193E7</v>
      </c>
      <c r="B25" s="4" t="s">
        <v>53</v>
      </c>
      <c r="C25" s="4" t="s">
        <v>3</v>
      </c>
      <c r="D25" s="4" t="s">
        <v>7</v>
      </c>
      <c r="E25" s="4">
        <v>1.712947884E9</v>
      </c>
      <c r="F25" s="4" t="s">
        <v>54</v>
      </c>
      <c r="G25" s="5"/>
      <c r="H25" s="5"/>
      <c r="I25" s="5"/>
    </row>
    <row r="26" ht="14.25" customHeight="1">
      <c r="A26" s="3">
        <v>2.4201199E7</v>
      </c>
      <c r="B26" s="4" t="s">
        <v>55</v>
      </c>
      <c r="C26" s="4" t="s">
        <v>3</v>
      </c>
      <c r="D26" s="4" t="s">
        <v>4</v>
      </c>
      <c r="E26" s="3">
        <v>8.801798579526E12</v>
      </c>
      <c r="F26" s="4" t="s">
        <v>56</v>
      </c>
      <c r="G26" s="5"/>
      <c r="H26" s="5"/>
      <c r="I26" s="5"/>
    </row>
    <row r="27" ht="14.25" customHeight="1">
      <c r="A27" s="3">
        <v>2.4201453E7</v>
      </c>
      <c r="B27" s="4" t="s">
        <v>57</v>
      </c>
      <c r="C27" s="4" t="s">
        <v>3</v>
      </c>
      <c r="D27" s="4" t="s">
        <v>7</v>
      </c>
      <c r="E27" s="4">
        <v>1.626563033E9</v>
      </c>
      <c r="F27" s="4" t="s">
        <v>58</v>
      </c>
      <c r="G27" s="5"/>
      <c r="H27" s="5"/>
      <c r="I27" s="5"/>
    </row>
    <row r="28" ht="14.25" customHeight="1">
      <c r="A28" s="3">
        <v>2.4201455E7</v>
      </c>
      <c r="B28" s="4" t="s">
        <v>59</v>
      </c>
      <c r="C28" s="4" t="s">
        <v>10</v>
      </c>
      <c r="D28" s="4" t="s">
        <v>7</v>
      </c>
      <c r="E28" s="4">
        <v>1.749851545E9</v>
      </c>
      <c r="F28" s="4" t="s">
        <v>60</v>
      </c>
      <c r="G28" s="5"/>
      <c r="H28" s="5"/>
      <c r="I28" s="5"/>
    </row>
    <row r="29" ht="14.25" customHeight="1">
      <c r="A29" s="3">
        <v>2.4204199E7</v>
      </c>
      <c r="B29" s="4" t="s">
        <v>61</v>
      </c>
      <c r="C29" s="4" t="s">
        <v>3</v>
      </c>
      <c r="D29" s="4" t="s">
        <v>7</v>
      </c>
      <c r="E29" s="3">
        <v>8.80133136448E12</v>
      </c>
      <c r="F29" s="4" t="s">
        <v>62</v>
      </c>
      <c r="G29" s="5"/>
      <c r="H29" s="5"/>
      <c r="I29" s="5"/>
    </row>
    <row r="30" ht="14.25" customHeight="1">
      <c r="A30" s="3">
        <v>2.4301002E7</v>
      </c>
      <c r="B30" s="4" t="s">
        <v>63</v>
      </c>
      <c r="C30" s="4" t="s">
        <v>10</v>
      </c>
      <c r="D30" s="4" t="s">
        <v>7</v>
      </c>
      <c r="E30" s="4">
        <v>1.817229069E9</v>
      </c>
      <c r="F30" s="4" t="s">
        <v>64</v>
      </c>
      <c r="G30" s="5"/>
      <c r="H30" s="5"/>
      <c r="I30" s="5"/>
    </row>
    <row r="31" ht="14.25" customHeight="1">
      <c r="A31" s="3">
        <v>2.4301003E7</v>
      </c>
      <c r="B31" s="4" t="s">
        <v>65</v>
      </c>
      <c r="C31" s="4" t="s">
        <v>3</v>
      </c>
      <c r="D31" s="4" t="s">
        <v>7</v>
      </c>
      <c r="E31" s="4">
        <v>1.617061131E9</v>
      </c>
      <c r="F31" s="4" t="s">
        <v>66</v>
      </c>
      <c r="G31" s="5"/>
      <c r="H31" s="5"/>
      <c r="I31" s="5"/>
    </row>
    <row r="32" ht="14.25" customHeight="1">
      <c r="A32" s="3">
        <v>2.4301116E7</v>
      </c>
      <c r="B32" s="4" t="s">
        <v>67</v>
      </c>
      <c r="C32" s="4" t="s">
        <v>10</v>
      </c>
      <c r="D32" s="4" t="s">
        <v>7</v>
      </c>
      <c r="E32" s="4">
        <v>1.68025353E9</v>
      </c>
      <c r="F32" s="4" t="s">
        <v>68</v>
      </c>
      <c r="G32" s="5"/>
      <c r="H32" s="5"/>
      <c r="I32" s="5"/>
    </row>
    <row r="33" ht="14.25" customHeight="1">
      <c r="A33" s="3">
        <v>2.4301173E7</v>
      </c>
      <c r="B33" s="4" t="s">
        <v>69</v>
      </c>
      <c r="C33" s="4" t="s">
        <v>10</v>
      </c>
      <c r="D33" s="4" t="s">
        <v>7</v>
      </c>
      <c r="E33" s="4">
        <v>1.684719211E9</v>
      </c>
      <c r="F33" s="4" t="s">
        <v>70</v>
      </c>
      <c r="G33" s="5"/>
      <c r="H33" s="5"/>
      <c r="I33" s="5"/>
    </row>
    <row r="34" ht="14.25" customHeight="1">
      <c r="A34" s="3">
        <v>2.4301197E7</v>
      </c>
      <c r="B34" s="4" t="s">
        <v>71</v>
      </c>
      <c r="C34" s="4" t="s">
        <v>3</v>
      </c>
      <c r="D34" s="4" t="s">
        <v>7</v>
      </c>
      <c r="E34" s="4">
        <v>1.919692803E9</v>
      </c>
      <c r="F34" s="4" t="s">
        <v>72</v>
      </c>
      <c r="G34" s="5"/>
      <c r="H34" s="5"/>
      <c r="I34" s="5"/>
    </row>
    <row r="35" ht="14.25" customHeight="1">
      <c r="A35" s="3">
        <v>2.4301282E7</v>
      </c>
      <c r="B35" s="4" t="s">
        <v>73</v>
      </c>
      <c r="C35" s="4" t="s">
        <v>10</v>
      </c>
      <c r="D35" s="4" t="s">
        <v>7</v>
      </c>
      <c r="E35" s="4">
        <v>1.306660168E9</v>
      </c>
      <c r="F35" s="4" t="s">
        <v>74</v>
      </c>
      <c r="G35" s="5"/>
      <c r="H35" s="5"/>
      <c r="I35" s="5"/>
    </row>
    <row r="36" ht="14.25" customHeight="1">
      <c r="A36" s="3">
        <v>2.4321232E7</v>
      </c>
      <c r="B36" s="4" t="s">
        <v>75</v>
      </c>
      <c r="C36" s="4" t="s">
        <v>3</v>
      </c>
      <c r="D36" s="4" t="s">
        <v>7</v>
      </c>
      <c r="E36" s="3">
        <v>8.801913842769E12</v>
      </c>
      <c r="F36" s="4" t="s">
        <v>76</v>
      </c>
      <c r="G36" s="6"/>
      <c r="H36" s="6"/>
    </row>
    <row r="37" ht="14.25" customHeight="1">
      <c r="A37" s="3">
        <v>2.4321234E7</v>
      </c>
      <c r="B37" s="7" t="s">
        <v>77</v>
      </c>
      <c r="C37" s="4" t="s">
        <v>3</v>
      </c>
      <c r="D37" s="4" t="s">
        <v>7</v>
      </c>
      <c r="E37" s="4">
        <v>1.789660748E9</v>
      </c>
      <c r="F37" s="7" t="s">
        <v>78</v>
      </c>
      <c r="G37" s="8"/>
      <c r="H37" s="8"/>
    </row>
    <row r="38" ht="14.25" customHeight="1">
      <c r="A38" s="9">
        <v>2.4341137E7</v>
      </c>
      <c r="B38" s="10" t="s">
        <v>79</v>
      </c>
      <c r="C38" s="10" t="s">
        <v>3</v>
      </c>
      <c r="D38" s="10" t="s">
        <v>4</v>
      </c>
      <c r="E38" s="10">
        <v>1.701060962E9</v>
      </c>
      <c r="F38" s="10" t="s">
        <v>80</v>
      </c>
    </row>
    <row r="39" ht="14.25" customHeight="1">
      <c r="A39" s="11"/>
    </row>
    <row r="40" ht="14.25" customHeight="1">
      <c r="A40" s="11"/>
    </row>
    <row r="41" ht="14.25" customHeight="1">
      <c r="A41" s="11"/>
    </row>
    <row r="42" ht="14.25" customHeight="1">
      <c r="A42" s="11"/>
    </row>
    <row r="43" ht="14.25" customHeight="1">
      <c r="A43" s="11"/>
    </row>
    <row r="44" ht="14.25" customHeight="1">
      <c r="A44" s="11"/>
    </row>
    <row r="45" ht="14.25" customHeight="1">
      <c r="A45" s="11"/>
    </row>
    <row r="46" ht="14.25" customHeight="1">
      <c r="A46" s="11"/>
    </row>
    <row r="47" ht="14.25" customHeight="1">
      <c r="A47" s="11"/>
    </row>
    <row r="48" ht="14.25" customHeight="1">
      <c r="A48" s="11"/>
    </row>
    <row r="49" ht="14.25" customHeight="1">
      <c r="A49" s="11"/>
    </row>
    <row r="50" ht="14.25" customHeight="1">
      <c r="A50" s="11"/>
    </row>
    <row r="51" ht="14.25" customHeight="1">
      <c r="A51" s="11"/>
    </row>
    <row r="52" ht="14.25" customHeight="1">
      <c r="A52" s="11"/>
    </row>
    <row r="53" ht="14.25" customHeight="1">
      <c r="A53" s="11"/>
    </row>
    <row r="54" ht="14.25" customHeight="1">
      <c r="A54" s="11"/>
    </row>
    <row r="55" ht="14.25" customHeight="1">
      <c r="A55" s="11"/>
    </row>
    <row r="56" ht="14.25" customHeight="1">
      <c r="A56" s="11"/>
    </row>
    <row r="57" ht="14.25" customHeight="1">
      <c r="A57" s="11"/>
    </row>
    <row r="58" ht="14.25" customHeight="1">
      <c r="A58" s="11"/>
    </row>
    <row r="59" ht="14.25" customHeight="1">
      <c r="A59" s="11"/>
    </row>
    <row r="60" ht="14.25" customHeight="1">
      <c r="A60" s="11"/>
    </row>
    <row r="61" ht="14.25" customHeight="1">
      <c r="A61" s="11"/>
    </row>
    <row r="62" ht="14.25" customHeight="1">
      <c r="A62" s="11"/>
    </row>
    <row r="63" ht="14.25" customHeight="1">
      <c r="A63" s="11"/>
    </row>
    <row r="64" ht="14.25" customHeight="1">
      <c r="A64" s="11"/>
    </row>
    <row r="65" ht="14.25" customHeight="1">
      <c r="A65" s="11"/>
    </row>
    <row r="66" ht="14.25" customHeight="1">
      <c r="A66" s="11"/>
    </row>
    <row r="67" ht="14.25" customHeight="1">
      <c r="A67" s="11"/>
    </row>
    <row r="68" ht="14.25" customHeight="1">
      <c r="A68" s="11"/>
    </row>
    <row r="69" ht="14.25" customHeight="1">
      <c r="A69" s="11"/>
    </row>
    <row r="70" ht="14.25" customHeight="1">
      <c r="A70" s="11"/>
    </row>
    <row r="71" ht="14.25" customHeight="1">
      <c r="A71" s="11"/>
    </row>
    <row r="72" ht="14.25" customHeight="1">
      <c r="A72" s="11"/>
    </row>
    <row r="73" ht="14.25" customHeight="1">
      <c r="A73" s="11"/>
    </row>
    <row r="74" ht="14.25" customHeight="1">
      <c r="A74" s="11"/>
    </row>
    <row r="75" ht="14.25" customHeight="1">
      <c r="A75" s="11"/>
    </row>
    <row r="76" ht="14.25" customHeight="1">
      <c r="A76" s="11"/>
    </row>
    <row r="77" ht="14.25" customHeight="1">
      <c r="A77" s="11"/>
    </row>
    <row r="78" ht="14.25" customHeight="1">
      <c r="A78" s="11"/>
    </row>
    <row r="79" ht="14.25" customHeight="1">
      <c r="A79" s="11"/>
    </row>
    <row r="80" ht="14.25" customHeight="1">
      <c r="A80" s="11"/>
    </row>
    <row r="81" ht="14.25" customHeight="1">
      <c r="A81" s="11"/>
    </row>
    <row r="82" ht="14.25" customHeight="1">
      <c r="A82" s="11"/>
    </row>
    <row r="83" ht="14.25" customHeight="1">
      <c r="A83" s="11"/>
    </row>
    <row r="84" ht="14.25" customHeight="1">
      <c r="A84" s="11"/>
    </row>
    <row r="85" ht="14.25" customHeight="1">
      <c r="A85" s="11"/>
    </row>
    <row r="86" ht="14.25" customHeight="1">
      <c r="A86" s="11"/>
    </row>
    <row r="87" ht="14.25" customHeight="1">
      <c r="A87" s="11"/>
    </row>
    <row r="88" ht="14.25" customHeight="1">
      <c r="A88" s="11"/>
    </row>
    <row r="89" ht="14.25" customHeight="1">
      <c r="A89" s="11"/>
    </row>
    <row r="90" ht="14.25" customHeight="1">
      <c r="A90" s="11"/>
    </row>
    <row r="91" ht="14.25" customHeight="1">
      <c r="A91" s="11"/>
    </row>
    <row r="92" ht="14.25" customHeight="1">
      <c r="A92" s="11"/>
    </row>
    <row r="93" ht="14.25" customHeight="1">
      <c r="A93" s="11"/>
    </row>
    <row r="94" ht="14.25" customHeight="1">
      <c r="A94" s="11"/>
    </row>
    <row r="95" ht="14.25" customHeight="1">
      <c r="A95" s="11"/>
    </row>
    <row r="96" ht="14.25" customHeight="1">
      <c r="A96" s="11"/>
    </row>
    <row r="97" ht="14.25" customHeight="1">
      <c r="A97" s="11"/>
    </row>
    <row r="98" ht="14.25" customHeight="1">
      <c r="A98" s="11"/>
    </row>
    <row r="99" ht="14.25" customHeight="1">
      <c r="A99" s="11"/>
    </row>
    <row r="100" ht="14.25" customHeight="1">
      <c r="A100" s="11"/>
    </row>
    <row r="101" ht="14.25" customHeight="1">
      <c r="A101" s="11"/>
    </row>
    <row r="102" ht="14.25" customHeight="1">
      <c r="A102" s="11"/>
    </row>
    <row r="103" ht="14.25" customHeight="1">
      <c r="A103" s="11"/>
    </row>
    <row r="104" ht="14.25" customHeight="1">
      <c r="A104" s="11"/>
    </row>
    <row r="105" ht="14.25" customHeight="1">
      <c r="A105" s="11"/>
    </row>
    <row r="106" ht="14.25" customHeight="1">
      <c r="A106" s="11"/>
    </row>
    <row r="107" ht="14.25" customHeight="1">
      <c r="A107" s="11"/>
    </row>
    <row r="108" ht="14.25" customHeight="1">
      <c r="A108" s="11"/>
    </row>
    <row r="109" ht="14.25" customHeight="1">
      <c r="A109" s="11"/>
    </row>
    <row r="110" ht="14.25" customHeight="1">
      <c r="A110" s="11"/>
    </row>
    <row r="111" ht="14.25" customHeight="1">
      <c r="A111" s="11"/>
    </row>
    <row r="112" ht="14.25" customHeight="1">
      <c r="A112" s="11"/>
    </row>
    <row r="113" ht="14.25" customHeight="1">
      <c r="A113" s="11"/>
    </row>
    <row r="114" ht="14.25" customHeight="1">
      <c r="A114" s="11"/>
    </row>
    <row r="115" ht="14.25" customHeight="1">
      <c r="A115" s="11"/>
    </row>
    <row r="116" ht="14.25" customHeight="1">
      <c r="A116" s="11"/>
    </row>
    <row r="117" ht="14.25" customHeight="1">
      <c r="A117" s="11"/>
    </row>
    <row r="118" ht="14.25" customHeight="1">
      <c r="A118" s="11"/>
    </row>
    <row r="119" ht="14.25" customHeight="1">
      <c r="A119" s="11"/>
    </row>
    <row r="120" ht="14.25" customHeight="1">
      <c r="A120" s="11"/>
    </row>
    <row r="121" ht="14.25" customHeight="1">
      <c r="A121" s="11"/>
    </row>
    <row r="122" ht="14.25" customHeight="1">
      <c r="A122" s="11"/>
    </row>
    <row r="123" ht="14.25" customHeight="1">
      <c r="A123" s="11"/>
    </row>
    <row r="124" ht="14.25" customHeight="1">
      <c r="A124" s="11"/>
    </row>
    <row r="125" ht="14.25" customHeight="1">
      <c r="A125" s="11"/>
    </row>
    <row r="126" ht="14.25" customHeight="1">
      <c r="A126" s="11"/>
    </row>
    <row r="127" ht="14.25" customHeight="1">
      <c r="A127" s="11"/>
    </row>
    <row r="128" ht="14.25" customHeight="1">
      <c r="A128" s="11"/>
    </row>
    <row r="129" ht="14.25" customHeight="1">
      <c r="A129" s="11"/>
    </row>
    <row r="130" ht="14.25" customHeight="1">
      <c r="A130" s="11"/>
    </row>
    <row r="131" ht="14.25" customHeight="1">
      <c r="A131" s="11"/>
    </row>
    <row r="132" ht="14.25" customHeight="1">
      <c r="A132" s="11"/>
    </row>
    <row r="133" ht="14.25" customHeight="1">
      <c r="A133" s="11"/>
    </row>
    <row r="134" ht="14.25" customHeight="1">
      <c r="A134" s="11"/>
    </row>
    <row r="135" ht="14.25" customHeight="1">
      <c r="A135" s="11"/>
    </row>
    <row r="136" ht="14.25" customHeight="1">
      <c r="A136" s="11"/>
    </row>
    <row r="137" ht="14.25" customHeight="1">
      <c r="A137" s="11"/>
    </row>
    <row r="138" ht="14.25" customHeight="1">
      <c r="A138" s="11"/>
    </row>
    <row r="139" ht="14.25" customHeight="1">
      <c r="A139" s="11"/>
    </row>
    <row r="140" ht="14.25" customHeight="1">
      <c r="A140" s="11"/>
    </row>
    <row r="141" ht="14.25" customHeight="1">
      <c r="A141" s="11"/>
    </row>
    <row r="142" ht="14.25" customHeight="1">
      <c r="A142" s="11"/>
    </row>
    <row r="143" ht="14.25" customHeight="1">
      <c r="A143" s="11"/>
    </row>
    <row r="144" ht="14.25" customHeight="1">
      <c r="A144" s="11"/>
    </row>
    <row r="145" ht="14.25" customHeight="1">
      <c r="A145" s="11"/>
    </row>
    <row r="146" ht="14.25" customHeight="1">
      <c r="A146" s="11"/>
    </row>
    <row r="147" ht="14.25" customHeight="1">
      <c r="A147" s="11"/>
    </row>
    <row r="148" ht="14.25" customHeight="1">
      <c r="A148" s="11"/>
    </row>
    <row r="149" ht="14.25" customHeight="1">
      <c r="A149" s="11"/>
    </row>
    <row r="150" ht="14.25" customHeight="1">
      <c r="A150" s="11"/>
    </row>
    <row r="151" ht="14.25" customHeight="1">
      <c r="A151" s="11"/>
    </row>
    <row r="152" ht="14.25" customHeight="1">
      <c r="A152" s="11"/>
    </row>
    <row r="153" ht="14.25" customHeight="1">
      <c r="A153" s="11"/>
    </row>
    <row r="154" ht="14.25" customHeight="1">
      <c r="A154" s="11"/>
    </row>
    <row r="155" ht="14.25" customHeight="1">
      <c r="A155" s="11"/>
    </row>
    <row r="156" ht="14.25" customHeight="1">
      <c r="A156" s="11"/>
    </row>
    <row r="157" ht="14.25" customHeight="1">
      <c r="A157" s="11"/>
    </row>
    <row r="158" ht="14.25" customHeight="1">
      <c r="A158" s="11"/>
    </row>
    <row r="159" ht="14.25" customHeight="1">
      <c r="A159" s="11"/>
    </row>
    <row r="160" ht="14.25" customHeight="1">
      <c r="A160" s="11"/>
    </row>
    <row r="161" ht="14.25" customHeight="1">
      <c r="A161" s="11"/>
    </row>
    <row r="162" ht="14.25" customHeight="1">
      <c r="A162" s="11"/>
    </row>
    <row r="163" ht="14.25" customHeight="1">
      <c r="A163" s="11"/>
    </row>
    <row r="164" ht="14.25" customHeight="1">
      <c r="A164" s="11"/>
    </row>
    <row r="165" ht="14.25" customHeight="1">
      <c r="A165" s="11"/>
    </row>
    <row r="166" ht="14.25" customHeight="1">
      <c r="A166" s="11"/>
    </row>
    <row r="167" ht="14.25" customHeight="1">
      <c r="A167" s="11"/>
    </row>
    <row r="168" ht="14.25" customHeight="1">
      <c r="A168" s="11"/>
    </row>
    <row r="169" ht="14.25" customHeight="1">
      <c r="A169" s="11"/>
    </row>
    <row r="170" ht="14.25" customHeight="1">
      <c r="A170" s="11"/>
    </row>
    <row r="171" ht="14.25" customHeight="1">
      <c r="A171" s="11"/>
    </row>
    <row r="172" ht="14.25" customHeight="1">
      <c r="A172" s="11"/>
    </row>
    <row r="173" ht="14.25" customHeight="1">
      <c r="A173" s="11"/>
    </row>
    <row r="174" ht="14.25" customHeight="1">
      <c r="A174" s="11"/>
    </row>
    <row r="175" ht="14.25" customHeight="1">
      <c r="A175" s="11"/>
    </row>
    <row r="176" ht="14.25" customHeight="1">
      <c r="A176" s="11"/>
    </row>
    <row r="177" ht="14.25" customHeight="1">
      <c r="A177" s="11"/>
    </row>
    <row r="178" ht="14.25" customHeight="1">
      <c r="A178" s="11"/>
    </row>
    <row r="179" ht="14.25" customHeight="1">
      <c r="A179" s="11"/>
    </row>
    <row r="180" ht="14.25" customHeight="1">
      <c r="A180" s="11"/>
    </row>
    <row r="181" ht="14.25" customHeight="1">
      <c r="A181" s="11"/>
    </row>
    <row r="182" ht="14.25" customHeight="1">
      <c r="A182" s="11"/>
    </row>
    <row r="183" ht="14.25" customHeight="1">
      <c r="A183" s="11"/>
    </row>
    <row r="184" ht="14.25" customHeight="1">
      <c r="A184" s="11"/>
    </row>
    <row r="185" ht="14.25" customHeight="1">
      <c r="A185" s="11"/>
    </row>
    <row r="186" ht="14.25" customHeight="1">
      <c r="A186" s="11"/>
    </row>
    <row r="187" ht="14.25" customHeight="1">
      <c r="A187" s="11"/>
    </row>
    <row r="188" ht="14.25" customHeight="1">
      <c r="A188" s="11"/>
    </row>
    <row r="189" ht="14.25" customHeight="1">
      <c r="A189" s="11"/>
    </row>
    <row r="190" ht="14.25" customHeight="1">
      <c r="A190" s="11"/>
    </row>
    <row r="191" ht="14.25" customHeight="1">
      <c r="A191" s="11"/>
    </row>
    <row r="192" ht="14.25" customHeight="1">
      <c r="A192" s="11"/>
    </row>
    <row r="193" ht="14.25" customHeight="1">
      <c r="A193" s="11"/>
    </row>
    <row r="194" ht="14.25" customHeight="1">
      <c r="A194" s="11"/>
    </row>
    <row r="195" ht="14.25" customHeight="1">
      <c r="A195" s="11"/>
    </row>
    <row r="196" ht="14.25" customHeight="1">
      <c r="A196" s="11"/>
    </row>
    <row r="197" ht="14.25" customHeight="1">
      <c r="A197" s="11"/>
    </row>
    <row r="198" ht="14.25" customHeight="1">
      <c r="A198" s="11"/>
    </row>
    <row r="199" ht="14.25" customHeight="1">
      <c r="A199" s="11"/>
    </row>
    <row r="200" ht="14.25" customHeight="1">
      <c r="A200" s="11"/>
    </row>
    <row r="201" ht="14.25" customHeight="1">
      <c r="A201" s="11"/>
    </row>
    <row r="202" ht="14.25" customHeight="1">
      <c r="A202" s="11"/>
    </row>
    <row r="203" ht="14.25" customHeight="1">
      <c r="A203" s="11"/>
    </row>
    <row r="204" ht="14.25" customHeight="1">
      <c r="A204" s="11"/>
    </row>
    <row r="205" ht="14.25" customHeight="1">
      <c r="A205" s="11"/>
    </row>
    <row r="206" ht="14.25" customHeight="1">
      <c r="A206" s="11"/>
    </row>
    <row r="207" ht="14.25" customHeight="1">
      <c r="A207" s="11"/>
    </row>
    <row r="208" ht="14.25" customHeight="1">
      <c r="A208" s="11"/>
    </row>
    <row r="209" ht="14.25" customHeight="1">
      <c r="A209" s="11"/>
    </row>
    <row r="210" ht="14.25" customHeight="1">
      <c r="A210" s="11"/>
    </row>
    <row r="211" ht="14.25" customHeight="1">
      <c r="A211" s="11"/>
    </row>
    <row r="212" ht="14.25" customHeight="1">
      <c r="A212" s="11"/>
    </row>
    <row r="213" ht="14.25" customHeight="1">
      <c r="A213" s="11"/>
    </row>
    <row r="214" ht="14.25" customHeight="1">
      <c r="A214" s="11"/>
    </row>
    <row r="215" ht="14.25" customHeight="1">
      <c r="A215" s="11"/>
    </row>
    <row r="216" ht="14.25" customHeight="1">
      <c r="A216" s="11"/>
    </row>
    <row r="217" ht="14.25" customHeight="1">
      <c r="A217" s="11"/>
    </row>
    <row r="218" ht="14.25" customHeight="1">
      <c r="A218" s="11"/>
    </row>
    <row r="219" ht="14.25" customHeight="1">
      <c r="A219" s="11"/>
    </row>
    <row r="220" ht="14.25" customHeight="1">
      <c r="A220" s="11"/>
    </row>
    <row r="221" ht="14.25" customHeight="1">
      <c r="A221" s="11"/>
    </row>
    <row r="222" ht="14.25" customHeight="1">
      <c r="A222" s="11"/>
    </row>
    <row r="223" ht="14.25" customHeight="1">
      <c r="A223" s="11"/>
    </row>
    <row r="224" ht="14.25" customHeight="1">
      <c r="A224" s="11"/>
    </row>
    <row r="225" ht="14.25" customHeight="1">
      <c r="A225" s="11"/>
    </row>
    <row r="226" ht="14.25" customHeight="1">
      <c r="A226" s="11"/>
    </row>
    <row r="227" ht="14.25" customHeight="1">
      <c r="A227" s="11"/>
    </row>
    <row r="228" ht="14.25" customHeight="1">
      <c r="A228" s="11"/>
    </row>
    <row r="229" ht="14.25" customHeight="1">
      <c r="A229" s="11"/>
    </row>
    <row r="230" ht="14.25" customHeight="1">
      <c r="A230" s="11"/>
    </row>
    <row r="231" ht="14.25" customHeight="1">
      <c r="A231" s="11"/>
    </row>
    <row r="232" ht="14.25" customHeight="1">
      <c r="A232" s="11"/>
    </row>
    <row r="233" ht="14.25" customHeight="1">
      <c r="A233" s="11"/>
    </row>
    <row r="234" ht="14.25" customHeight="1">
      <c r="A234" s="11"/>
    </row>
    <row r="235" ht="14.25" customHeight="1">
      <c r="A235" s="11"/>
    </row>
    <row r="236" ht="14.25" customHeight="1">
      <c r="A236" s="11"/>
    </row>
    <row r="237" ht="14.25" customHeight="1">
      <c r="A237" s="11"/>
    </row>
    <row r="238" ht="14.25" customHeight="1">
      <c r="A238" s="11"/>
    </row>
    <row r="239" ht="14.25" customHeight="1">
      <c r="A239" s="11"/>
    </row>
    <row r="240" ht="14.25" customHeight="1">
      <c r="A240" s="11"/>
    </row>
    <row r="241" ht="14.25" customHeight="1">
      <c r="A241" s="11"/>
    </row>
    <row r="242" ht="14.25" customHeight="1">
      <c r="A242" s="11"/>
    </row>
    <row r="243" ht="14.25" customHeight="1">
      <c r="A243" s="11"/>
    </row>
    <row r="244" ht="14.25" customHeight="1">
      <c r="A244" s="11"/>
    </row>
    <row r="245" ht="14.25" customHeight="1">
      <c r="A245" s="11"/>
    </row>
    <row r="246" ht="14.25" customHeight="1">
      <c r="A246" s="11"/>
    </row>
    <row r="247" ht="14.25" customHeight="1">
      <c r="A247" s="11"/>
    </row>
    <row r="248" ht="14.25" customHeight="1">
      <c r="A248" s="11"/>
    </row>
    <row r="249" ht="14.25" customHeight="1">
      <c r="A249" s="11"/>
    </row>
    <row r="250" ht="14.25" customHeight="1">
      <c r="A250" s="11"/>
    </row>
    <row r="251" ht="14.25" customHeight="1">
      <c r="A251" s="11"/>
    </row>
    <row r="252" ht="14.25" customHeight="1">
      <c r="A252" s="11"/>
    </row>
    <row r="253" ht="14.25" customHeight="1">
      <c r="A253" s="11"/>
    </row>
    <row r="254" ht="14.25" customHeight="1">
      <c r="A254" s="11"/>
    </row>
    <row r="255" ht="14.25" customHeight="1">
      <c r="A255" s="11"/>
    </row>
    <row r="256" ht="14.25" customHeight="1">
      <c r="A256" s="11"/>
    </row>
    <row r="257" ht="14.25" customHeight="1">
      <c r="A257" s="11"/>
    </row>
    <row r="258" ht="14.25" customHeight="1">
      <c r="A258" s="11"/>
    </row>
    <row r="259" ht="14.25" customHeight="1">
      <c r="A259" s="11"/>
    </row>
    <row r="260" ht="14.25" customHeight="1">
      <c r="A260" s="11"/>
    </row>
    <row r="261" ht="14.25" customHeight="1">
      <c r="A261" s="11"/>
    </row>
    <row r="262" ht="14.25" customHeight="1">
      <c r="A262" s="11"/>
    </row>
    <row r="263" ht="14.25" customHeight="1">
      <c r="A263" s="11"/>
    </row>
    <row r="264" ht="14.25" customHeight="1">
      <c r="A264" s="11"/>
    </row>
    <row r="265" ht="14.25" customHeight="1">
      <c r="A265" s="11"/>
    </row>
    <row r="266" ht="14.25" customHeight="1">
      <c r="A266" s="11"/>
    </row>
    <row r="267" ht="14.25" customHeight="1">
      <c r="A267" s="11"/>
    </row>
    <row r="268" ht="14.25" customHeight="1">
      <c r="A268" s="11"/>
    </row>
    <row r="269" ht="14.25" customHeight="1">
      <c r="A269" s="11"/>
    </row>
    <row r="270" ht="14.25" customHeight="1">
      <c r="A270" s="11"/>
    </row>
    <row r="271" ht="14.25" customHeight="1">
      <c r="A271" s="11"/>
    </row>
    <row r="272" ht="14.25" customHeight="1">
      <c r="A272" s="11"/>
    </row>
    <row r="273" ht="14.25" customHeight="1">
      <c r="A273" s="11"/>
    </row>
    <row r="274" ht="14.25" customHeight="1">
      <c r="A274" s="11"/>
    </row>
    <row r="275" ht="14.25" customHeight="1">
      <c r="A275" s="11"/>
    </row>
    <row r="276" ht="14.25" customHeight="1">
      <c r="A276" s="11"/>
    </row>
    <row r="277" ht="14.25" customHeight="1">
      <c r="A277" s="11"/>
    </row>
    <row r="278" ht="14.25" customHeight="1">
      <c r="A278" s="11"/>
    </row>
    <row r="279" ht="14.25" customHeight="1">
      <c r="A279" s="11"/>
    </row>
    <row r="280" ht="14.25" customHeight="1">
      <c r="A280" s="11"/>
    </row>
    <row r="281" ht="14.25" customHeight="1">
      <c r="A281" s="11"/>
    </row>
    <row r="282" ht="14.25" customHeight="1">
      <c r="A282" s="11"/>
    </row>
    <row r="283" ht="14.25" customHeight="1">
      <c r="A283" s="11"/>
    </row>
    <row r="284" ht="14.25" customHeight="1">
      <c r="A284" s="11"/>
    </row>
    <row r="285" ht="14.25" customHeight="1">
      <c r="A285" s="11"/>
    </row>
    <row r="286" ht="14.25" customHeight="1">
      <c r="A286" s="11"/>
    </row>
    <row r="287" ht="14.25" customHeight="1">
      <c r="A287" s="11"/>
    </row>
    <row r="288" ht="14.25" customHeight="1">
      <c r="A288" s="11"/>
    </row>
    <row r="289" ht="14.25" customHeight="1">
      <c r="A289" s="11"/>
    </row>
    <row r="290" ht="14.25" customHeight="1">
      <c r="A290" s="11"/>
    </row>
    <row r="291" ht="14.25" customHeight="1">
      <c r="A291" s="11"/>
    </row>
    <row r="292" ht="14.25" customHeight="1">
      <c r="A292" s="11"/>
    </row>
    <row r="293" ht="14.25" customHeight="1">
      <c r="A293" s="11"/>
    </row>
    <row r="294" ht="14.25" customHeight="1">
      <c r="A294" s="11"/>
    </row>
    <row r="295" ht="14.25" customHeight="1">
      <c r="A295" s="11"/>
    </row>
    <row r="296" ht="14.25" customHeight="1">
      <c r="A296" s="11"/>
    </row>
    <row r="297" ht="14.25" customHeight="1">
      <c r="A297" s="11"/>
    </row>
    <row r="298" ht="14.25" customHeight="1">
      <c r="A298" s="11"/>
    </row>
    <row r="299" ht="14.25" customHeight="1">
      <c r="A299" s="11"/>
    </row>
    <row r="300" ht="14.25" customHeight="1">
      <c r="A300" s="11"/>
    </row>
    <row r="301" ht="14.25" customHeight="1">
      <c r="A301" s="11"/>
    </row>
    <row r="302" ht="14.25" customHeight="1">
      <c r="A302" s="11"/>
    </row>
    <row r="303" ht="14.25" customHeight="1">
      <c r="A303" s="11"/>
    </row>
    <row r="304" ht="14.25" customHeight="1">
      <c r="A304" s="11"/>
    </row>
    <row r="305" ht="14.25" customHeight="1">
      <c r="A305" s="11"/>
    </row>
    <row r="306" ht="14.25" customHeight="1">
      <c r="A306" s="11"/>
    </row>
    <row r="307" ht="14.25" customHeight="1">
      <c r="A307" s="11"/>
    </row>
    <row r="308" ht="14.25" customHeight="1">
      <c r="A308" s="11"/>
    </row>
    <row r="309" ht="14.25" customHeight="1">
      <c r="A309" s="11"/>
    </row>
    <row r="310" ht="14.25" customHeight="1">
      <c r="A310" s="11"/>
    </row>
    <row r="311" ht="14.25" customHeight="1">
      <c r="A311" s="11"/>
    </row>
    <row r="312" ht="14.25" customHeight="1">
      <c r="A312" s="11"/>
    </row>
    <row r="313" ht="14.25" customHeight="1">
      <c r="A313" s="11"/>
    </row>
    <row r="314" ht="14.25" customHeight="1">
      <c r="A314" s="11"/>
    </row>
    <row r="315" ht="14.25" customHeight="1">
      <c r="A315" s="11"/>
    </row>
    <row r="316" ht="14.25" customHeight="1">
      <c r="A316" s="11"/>
    </row>
    <row r="317" ht="14.25" customHeight="1">
      <c r="A317" s="11"/>
    </row>
    <row r="318" ht="14.25" customHeight="1">
      <c r="A318" s="11"/>
    </row>
    <row r="319" ht="14.25" customHeight="1">
      <c r="A319" s="11"/>
    </row>
    <row r="320" ht="14.25" customHeight="1">
      <c r="A320" s="11"/>
    </row>
    <row r="321" ht="14.25" customHeight="1">
      <c r="A321" s="11"/>
    </row>
    <row r="322" ht="14.25" customHeight="1">
      <c r="A322" s="11"/>
    </row>
    <row r="323" ht="14.25" customHeight="1">
      <c r="A323" s="11"/>
    </row>
    <row r="324" ht="14.25" customHeight="1">
      <c r="A324" s="11"/>
    </row>
    <row r="325" ht="14.25" customHeight="1">
      <c r="A325" s="11"/>
    </row>
    <row r="326" ht="14.25" customHeight="1">
      <c r="A326" s="11"/>
    </row>
    <row r="327" ht="14.25" customHeight="1">
      <c r="A327" s="11"/>
    </row>
    <row r="328" ht="14.25" customHeight="1">
      <c r="A328" s="11"/>
    </row>
    <row r="329" ht="14.25" customHeight="1">
      <c r="A329" s="11"/>
    </row>
    <row r="330" ht="14.25" customHeight="1">
      <c r="A330" s="11"/>
    </row>
    <row r="331" ht="14.25" customHeight="1">
      <c r="A331" s="11"/>
    </row>
    <row r="332" ht="14.25" customHeight="1">
      <c r="A332" s="11"/>
    </row>
    <row r="333" ht="14.25" customHeight="1">
      <c r="A333" s="11"/>
    </row>
    <row r="334" ht="14.25" customHeight="1">
      <c r="A334" s="11"/>
    </row>
    <row r="335" ht="14.25" customHeight="1">
      <c r="A335" s="11"/>
    </row>
    <row r="336" ht="14.25" customHeight="1">
      <c r="A336" s="11"/>
    </row>
    <row r="337" ht="14.25" customHeight="1">
      <c r="A337" s="11"/>
    </row>
    <row r="338" ht="14.25" customHeight="1">
      <c r="A338" s="11"/>
    </row>
    <row r="339" ht="14.25" customHeight="1">
      <c r="A339" s="11"/>
    </row>
    <row r="340" ht="14.25" customHeight="1">
      <c r="A340" s="11"/>
    </row>
    <row r="341" ht="14.25" customHeight="1">
      <c r="A341" s="11"/>
    </row>
    <row r="342" ht="14.25" customHeight="1">
      <c r="A342" s="11"/>
    </row>
    <row r="343" ht="14.25" customHeight="1">
      <c r="A343" s="11"/>
    </row>
    <row r="344" ht="14.25" customHeight="1">
      <c r="A344" s="11"/>
    </row>
    <row r="345" ht="14.25" customHeight="1">
      <c r="A345" s="11"/>
    </row>
    <row r="346" ht="14.25" customHeight="1">
      <c r="A346" s="11"/>
    </row>
    <row r="347" ht="14.25" customHeight="1">
      <c r="A347" s="11"/>
    </row>
    <row r="348" ht="14.25" customHeight="1">
      <c r="A348" s="11"/>
    </row>
    <row r="349" ht="14.25" customHeight="1">
      <c r="A349" s="11"/>
    </row>
    <row r="350" ht="14.25" customHeight="1">
      <c r="A350" s="11"/>
    </row>
    <row r="351" ht="14.25" customHeight="1">
      <c r="A351" s="11"/>
    </row>
    <row r="352" ht="14.25" customHeight="1">
      <c r="A352" s="11"/>
    </row>
    <row r="353" ht="14.25" customHeight="1">
      <c r="A353" s="11"/>
    </row>
    <row r="354" ht="14.25" customHeight="1">
      <c r="A354" s="11"/>
    </row>
    <row r="355" ht="14.25" customHeight="1">
      <c r="A355" s="11"/>
    </row>
    <row r="356" ht="14.25" customHeight="1">
      <c r="A356" s="11"/>
    </row>
    <row r="357" ht="14.25" customHeight="1">
      <c r="A357" s="11"/>
    </row>
    <row r="358" ht="14.25" customHeight="1">
      <c r="A358" s="11"/>
    </row>
    <row r="359" ht="14.25" customHeight="1">
      <c r="A359" s="11"/>
    </row>
    <row r="360" ht="14.25" customHeight="1">
      <c r="A360" s="11"/>
    </row>
    <row r="361" ht="14.25" customHeight="1">
      <c r="A361" s="11"/>
    </row>
    <row r="362" ht="14.25" customHeight="1">
      <c r="A362" s="11"/>
    </row>
    <row r="363" ht="14.25" customHeight="1">
      <c r="A363" s="11"/>
    </row>
    <row r="364" ht="14.25" customHeight="1">
      <c r="A364" s="11"/>
    </row>
    <row r="365" ht="14.25" customHeight="1">
      <c r="A365" s="11"/>
    </row>
    <row r="366" ht="14.25" customHeight="1">
      <c r="A366" s="11"/>
    </row>
    <row r="367" ht="14.25" customHeight="1">
      <c r="A367" s="11"/>
    </row>
    <row r="368" ht="14.25" customHeight="1">
      <c r="A368" s="11"/>
    </row>
    <row r="369" ht="14.25" customHeight="1">
      <c r="A369" s="11"/>
    </row>
    <row r="370" ht="14.25" customHeight="1">
      <c r="A370" s="11"/>
    </row>
    <row r="371" ht="14.25" customHeight="1">
      <c r="A371" s="11"/>
    </row>
    <row r="372" ht="14.25" customHeight="1">
      <c r="A372" s="11"/>
    </row>
    <row r="373" ht="14.25" customHeight="1">
      <c r="A373" s="11"/>
    </row>
    <row r="374" ht="14.25" customHeight="1">
      <c r="A374" s="11"/>
    </row>
    <row r="375" ht="14.25" customHeight="1">
      <c r="A375" s="11"/>
    </row>
    <row r="376" ht="14.25" customHeight="1">
      <c r="A376" s="11"/>
    </row>
    <row r="377" ht="14.25" customHeight="1">
      <c r="A377" s="11"/>
    </row>
    <row r="378" ht="14.25" customHeight="1">
      <c r="A378" s="11"/>
    </row>
    <row r="379" ht="14.25" customHeight="1">
      <c r="A379" s="11"/>
    </row>
    <row r="380" ht="14.25" customHeight="1">
      <c r="A380" s="11"/>
    </row>
    <row r="381" ht="14.25" customHeight="1">
      <c r="A381" s="11"/>
    </row>
    <row r="382" ht="14.25" customHeight="1">
      <c r="A382" s="11"/>
    </row>
    <row r="383" ht="14.25" customHeight="1">
      <c r="A383" s="11"/>
    </row>
    <row r="384" ht="14.25" customHeight="1">
      <c r="A384" s="11"/>
    </row>
    <row r="385" ht="14.25" customHeight="1">
      <c r="A385" s="11"/>
    </row>
    <row r="386" ht="14.25" customHeight="1">
      <c r="A386" s="11"/>
    </row>
    <row r="387" ht="14.25" customHeight="1">
      <c r="A387" s="11"/>
    </row>
    <row r="388" ht="14.25" customHeight="1">
      <c r="A388" s="11"/>
    </row>
    <row r="389" ht="14.25" customHeight="1">
      <c r="A389" s="11"/>
    </row>
    <row r="390" ht="14.25" customHeight="1">
      <c r="A390" s="11"/>
    </row>
    <row r="391" ht="14.25" customHeight="1">
      <c r="A391" s="11"/>
    </row>
    <row r="392" ht="14.25" customHeight="1">
      <c r="A392" s="11"/>
    </row>
    <row r="393" ht="14.25" customHeight="1">
      <c r="A393" s="11"/>
    </row>
    <row r="394" ht="14.25" customHeight="1">
      <c r="A394" s="11"/>
    </row>
    <row r="395" ht="14.25" customHeight="1">
      <c r="A395" s="11"/>
    </row>
    <row r="396" ht="14.25" customHeight="1">
      <c r="A396" s="11"/>
    </row>
    <row r="397" ht="14.25" customHeight="1">
      <c r="A397" s="11"/>
    </row>
    <row r="398" ht="14.25" customHeight="1">
      <c r="A398" s="11"/>
    </row>
    <row r="399" ht="14.25" customHeight="1">
      <c r="A399" s="11"/>
    </row>
    <row r="400" ht="14.25" customHeight="1">
      <c r="A400" s="11"/>
    </row>
    <row r="401" ht="14.25" customHeight="1">
      <c r="A401" s="11"/>
    </row>
    <row r="402" ht="14.25" customHeight="1">
      <c r="A402" s="11"/>
    </row>
    <row r="403" ht="14.25" customHeight="1">
      <c r="A403" s="11"/>
    </row>
    <row r="404" ht="14.25" customHeight="1">
      <c r="A404" s="11"/>
    </row>
    <row r="405" ht="14.25" customHeight="1">
      <c r="A405" s="11"/>
    </row>
    <row r="406" ht="14.25" customHeight="1">
      <c r="A406" s="11"/>
    </row>
    <row r="407" ht="14.25" customHeight="1">
      <c r="A407" s="11"/>
    </row>
    <row r="408" ht="14.25" customHeight="1">
      <c r="A408" s="11"/>
    </row>
    <row r="409" ht="14.25" customHeight="1">
      <c r="A409" s="11"/>
    </row>
    <row r="410" ht="14.25" customHeight="1">
      <c r="A410" s="11"/>
    </row>
    <row r="411" ht="14.25" customHeight="1">
      <c r="A411" s="11"/>
    </row>
    <row r="412" ht="14.25" customHeight="1">
      <c r="A412" s="11"/>
    </row>
    <row r="413" ht="14.25" customHeight="1">
      <c r="A413" s="11"/>
    </row>
    <row r="414" ht="14.25" customHeight="1">
      <c r="A414" s="11"/>
    </row>
    <row r="415" ht="14.25" customHeight="1">
      <c r="A415" s="11"/>
    </row>
    <row r="416" ht="14.25" customHeight="1">
      <c r="A416" s="11"/>
    </row>
    <row r="417" ht="14.25" customHeight="1">
      <c r="A417" s="11"/>
    </row>
    <row r="418" ht="14.25" customHeight="1">
      <c r="A418" s="11"/>
    </row>
    <row r="419" ht="14.25" customHeight="1">
      <c r="A419" s="11"/>
    </row>
    <row r="420" ht="14.25" customHeight="1">
      <c r="A420" s="11"/>
    </row>
    <row r="421" ht="14.25" customHeight="1">
      <c r="A421" s="11"/>
    </row>
    <row r="422" ht="14.25" customHeight="1">
      <c r="A422" s="11"/>
    </row>
    <row r="423" ht="14.25" customHeight="1">
      <c r="A423" s="11"/>
    </row>
    <row r="424" ht="14.25" customHeight="1">
      <c r="A424" s="11"/>
    </row>
    <row r="425" ht="14.25" customHeight="1">
      <c r="A425" s="11"/>
    </row>
    <row r="426" ht="14.25" customHeight="1">
      <c r="A426" s="11"/>
    </row>
    <row r="427" ht="14.25" customHeight="1">
      <c r="A427" s="11"/>
    </row>
    <row r="428" ht="14.25" customHeight="1">
      <c r="A428" s="11"/>
    </row>
    <row r="429" ht="14.25" customHeight="1">
      <c r="A429" s="11"/>
    </row>
    <row r="430" ht="14.25" customHeight="1">
      <c r="A430" s="11"/>
    </row>
    <row r="431" ht="14.25" customHeight="1">
      <c r="A431" s="11"/>
    </row>
    <row r="432" ht="14.25" customHeight="1">
      <c r="A432" s="11"/>
    </row>
    <row r="433" ht="14.25" customHeight="1">
      <c r="A433" s="11"/>
    </row>
    <row r="434" ht="14.25" customHeight="1">
      <c r="A434" s="11"/>
    </row>
    <row r="435" ht="14.25" customHeight="1">
      <c r="A435" s="11"/>
    </row>
    <row r="436" ht="14.25" customHeight="1">
      <c r="A436" s="11"/>
    </row>
    <row r="437" ht="14.25" customHeight="1">
      <c r="A437" s="11"/>
    </row>
    <row r="438" ht="14.25" customHeight="1">
      <c r="A438" s="11"/>
    </row>
    <row r="439" ht="14.25" customHeight="1">
      <c r="A439" s="11"/>
    </row>
    <row r="440" ht="14.25" customHeight="1">
      <c r="A440" s="11"/>
    </row>
    <row r="441" ht="14.25" customHeight="1">
      <c r="A441" s="11"/>
    </row>
    <row r="442" ht="14.25" customHeight="1">
      <c r="A442" s="11"/>
    </row>
    <row r="443" ht="14.25" customHeight="1">
      <c r="A443" s="11"/>
    </row>
    <row r="444" ht="14.25" customHeight="1">
      <c r="A444" s="11"/>
    </row>
    <row r="445" ht="14.25" customHeight="1">
      <c r="A445" s="11"/>
    </row>
    <row r="446" ht="14.25" customHeight="1">
      <c r="A446" s="11"/>
    </row>
    <row r="447" ht="14.25" customHeight="1">
      <c r="A447" s="11"/>
    </row>
    <row r="448" ht="14.25" customHeight="1">
      <c r="A448" s="11"/>
    </row>
    <row r="449" ht="14.25" customHeight="1">
      <c r="A449" s="11"/>
    </row>
    <row r="450" ht="14.25" customHeight="1">
      <c r="A450" s="11"/>
    </row>
    <row r="451" ht="14.25" customHeight="1">
      <c r="A451" s="11"/>
    </row>
    <row r="452" ht="14.25" customHeight="1">
      <c r="A452" s="11"/>
    </row>
    <row r="453" ht="14.25" customHeight="1">
      <c r="A453" s="11"/>
    </row>
    <row r="454" ht="14.25" customHeight="1">
      <c r="A454" s="11"/>
    </row>
    <row r="455" ht="14.25" customHeight="1">
      <c r="A455" s="11"/>
    </row>
    <row r="456" ht="14.25" customHeight="1">
      <c r="A456" s="11"/>
    </row>
    <row r="457" ht="14.25" customHeight="1">
      <c r="A457" s="11"/>
    </row>
    <row r="458" ht="14.25" customHeight="1">
      <c r="A458" s="11"/>
    </row>
    <row r="459" ht="14.25" customHeight="1">
      <c r="A459" s="11"/>
    </row>
    <row r="460" ht="14.25" customHeight="1">
      <c r="A460" s="11"/>
    </row>
    <row r="461" ht="14.25" customHeight="1">
      <c r="A461" s="11"/>
    </row>
    <row r="462" ht="14.25" customHeight="1">
      <c r="A462" s="11"/>
    </row>
    <row r="463" ht="14.25" customHeight="1">
      <c r="A463" s="11"/>
    </row>
    <row r="464" ht="14.25" customHeight="1">
      <c r="A464" s="11"/>
    </row>
    <row r="465" ht="14.25" customHeight="1">
      <c r="A465" s="11"/>
    </row>
    <row r="466" ht="14.25" customHeight="1">
      <c r="A466" s="11"/>
    </row>
    <row r="467" ht="14.25" customHeight="1">
      <c r="A467" s="11"/>
    </row>
    <row r="468" ht="14.25" customHeight="1">
      <c r="A468" s="11"/>
    </row>
    <row r="469" ht="14.25" customHeight="1">
      <c r="A469" s="11"/>
    </row>
    <row r="470" ht="14.25" customHeight="1">
      <c r="A470" s="11"/>
    </row>
    <row r="471" ht="14.25" customHeight="1">
      <c r="A471" s="11"/>
    </row>
    <row r="472" ht="14.25" customHeight="1">
      <c r="A472" s="11"/>
    </row>
    <row r="473" ht="14.25" customHeight="1">
      <c r="A473" s="11"/>
    </row>
    <row r="474" ht="14.25" customHeight="1">
      <c r="A474" s="11"/>
    </row>
    <row r="475" ht="14.25" customHeight="1">
      <c r="A475" s="11"/>
    </row>
    <row r="476" ht="14.25" customHeight="1">
      <c r="A476" s="11"/>
    </row>
    <row r="477" ht="14.25" customHeight="1">
      <c r="A477" s="11"/>
    </row>
    <row r="478" ht="14.25" customHeight="1">
      <c r="A478" s="11"/>
    </row>
    <row r="479" ht="14.25" customHeight="1">
      <c r="A479" s="11"/>
    </row>
    <row r="480" ht="14.25" customHeight="1">
      <c r="A480" s="11"/>
    </row>
    <row r="481" ht="14.25" customHeight="1">
      <c r="A481" s="11"/>
    </row>
    <row r="482" ht="14.25" customHeight="1">
      <c r="A482" s="11"/>
    </row>
    <row r="483" ht="14.25" customHeight="1">
      <c r="A483" s="11"/>
    </row>
    <row r="484" ht="14.25" customHeight="1">
      <c r="A484" s="11"/>
    </row>
    <row r="485" ht="14.25" customHeight="1">
      <c r="A485" s="11"/>
    </row>
    <row r="486" ht="14.25" customHeight="1">
      <c r="A486" s="11"/>
    </row>
    <row r="487" ht="14.25" customHeight="1">
      <c r="A487" s="11"/>
    </row>
    <row r="488" ht="14.25" customHeight="1">
      <c r="A488" s="11"/>
    </row>
    <row r="489" ht="14.25" customHeight="1">
      <c r="A489" s="11"/>
    </row>
    <row r="490" ht="14.25" customHeight="1">
      <c r="A490" s="11"/>
    </row>
    <row r="491" ht="14.25" customHeight="1">
      <c r="A491" s="11"/>
    </row>
    <row r="492" ht="14.25" customHeight="1">
      <c r="A492" s="11"/>
    </row>
    <row r="493" ht="14.25" customHeight="1">
      <c r="A493" s="11"/>
    </row>
    <row r="494" ht="14.25" customHeight="1">
      <c r="A494" s="11"/>
    </row>
    <row r="495" ht="14.25" customHeight="1">
      <c r="A495" s="11"/>
    </row>
    <row r="496" ht="14.25" customHeight="1">
      <c r="A496" s="11"/>
    </row>
    <row r="497" ht="14.25" customHeight="1">
      <c r="A497" s="11"/>
    </row>
    <row r="498" ht="14.25" customHeight="1">
      <c r="A498" s="11"/>
    </row>
    <row r="499" ht="14.25" customHeight="1">
      <c r="A499" s="11"/>
    </row>
    <row r="500" ht="14.25" customHeight="1">
      <c r="A500" s="11"/>
    </row>
    <row r="501" ht="14.25" customHeight="1">
      <c r="A501" s="11"/>
    </row>
    <row r="502" ht="14.25" customHeight="1">
      <c r="A502" s="11"/>
    </row>
    <row r="503" ht="14.25" customHeight="1">
      <c r="A503" s="11"/>
    </row>
    <row r="504" ht="14.25" customHeight="1">
      <c r="A504" s="11"/>
    </row>
    <row r="505" ht="14.25" customHeight="1">
      <c r="A505" s="11"/>
    </row>
    <row r="506" ht="14.25" customHeight="1">
      <c r="A506" s="11"/>
    </row>
    <row r="507" ht="14.25" customHeight="1">
      <c r="A507" s="11"/>
    </row>
    <row r="508" ht="14.25" customHeight="1">
      <c r="A508" s="11"/>
    </row>
    <row r="509" ht="14.25" customHeight="1">
      <c r="A509" s="11"/>
    </row>
    <row r="510" ht="14.25" customHeight="1">
      <c r="A510" s="11"/>
    </row>
    <row r="511" ht="14.25" customHeight="1">
      <c r="A511" s="11"/>
    </row>
    <row r="512" ht="14.25" customHeight="1">
      <c r="A512" s="11"/>
    </row>
    <row r="513" ht="14.25" customHeight="1">
      <c r="A513" s="11"/>
    </row>
    <row r="514" ht="14.25" customHeight="1">
      <c r="A514" s="11"/>
    </row>
    <row r="515" ht="14.25" customHeight="1">
      <c r="A515" s="11"/>
    </row>
    <row r="516" ht="14.25" customHeight="1">
      <c r="A516" s="11"/>
    </row>
    <row r="517" ht="14.25" customHeight="1">
      <c r="A517" s="11"/>
    </row>
    <row r="518" ht="14.25" customHeight="1">
      <c r="A518" s="11"/>
    </row>
    <row r="519" ht="14.25" customHeight="1">
      <c r="A519" s="11"/>
    </row>
    <row r="520" ht="14.25" customHeight="1">
      <c r="A520" s="11"/>
    </row>
    <row r="521" ht="14.25" customHeight="1">
      <c r="A521" s="11"/>
    </row>
    <row r="522" ht="14.25" customHeight="1">
      <c r="A522" s="11"/>
    </row>
    <row r="523" ht="14.25" customHeight="1">
      <c r="A523" s="11"/>
    </row>
    <row r="524" ht="14.25" customHeight="1">
      <c r="A524" s="11"/>
    </row>
    <row r="525" ht="14.25" customHeight="1">
      <c r="A525" s="11"/>
    </row>
    <row r="526" ht="14.25" customHeight="1">
      <c r="A526" s="11"/>
    </row>
    <row r="527" ht="14.25" customHeight="1">
      <c r="A527" s="11"/>
    </row>
    <row r="528" ht="14.25" customHeight="1">
      <c r="A528" s="11"/>
    </row>
    <row r="529" ht="14.25" customHeight="1">
      <c r="A529" s="11"/>
    </row>
    <row r="530" ht="14.25" customHeight="1">
      <c r="A530" s="11"/>
    </row>
    <row r="531" ht="14.25" customHeight="1">
      <c r="A531" s="11"/>
    </row>
    <row r="532" ht="14.25" customHeight="1">
      <c r="A532" s="11"/>
    </row>
    <row r="533" ht="14.25" customHeight="1">
      <c r="A533" s="11"/>
    </row>
    <row r="534" ht="14.25" customHeight="1">
      <c r="A534" s="11"/>
    </row>
    <row r="535" ht="14.25" customHeight="1">
      <c r="A535" s="11"/>
    </row>
    <row r="536" ht="14.25" customHeight="1">
      <c r="A536" s="11"/>
    </row>
    <row r="537" ht="14.25" customHeight="1">
      <c r="A537" s="11"/>
    </row>
    <row r="538" ht="14.25" customHeight="1">
      <c r="A538" s="11"/>
    </row>
    <row r="539" ht="14.25" customHeight="1">
      <c r="A539" s="11"/>
    </row>
    <row r="540" ht="14.25" customHeight="1">
      <c r="A540" s="11"/>
    </row>
    <row r="541" ht="14.25" customHeight="1">
      <c r="A541" s="11"/>
    </row>
    <row r="542" ht="14.25" customHeight="1">
      <c r="A542" s="11"/>
    </row>
    <row r="543" ht="14.25" customHeight="1">
      <c r="A543" s="11"/>
    </row>
    <row r="544" ht="14.25" customHeight="1">
      <c r="A544" s="11"/>
    </row>
    <row r="545" ht="14.25" customHeight="1">
      <c r="A545" s="11"/>
    </row>
    <row r="546" ht="14.25" customHeight="1">
      <c r="A546" s="11"/>
    </row>
    <row r="547" ht="14.25" customHeight="1">
      <c r="A547" s="11"/>
    </row>
    <row r="548" ht="14.25" customHeight="1">
      <c r="A548" s="11"/>
    </row>
    <row r="549" ht="14.25" customHeight="1">
      <c r="A549" s="11"/>
    </row>
    <row r="550" ht="14.25" customHeight="1">
      <c r="A550" s="11"/>
    </row>
    <row r="551" ht="14.25" customHeight="1">
      <c r="A551" s="11"/>
    </row>
    <row r="552" ht="14.25" customHeight="1">
      <c r="A552" s="11"/>
    </row>
    <row r="553" ht="14.25" customHeight="1">
      <c r="A553" s="11"/>
    </row>
    <row r="554" ht="14.25" customHeight="1">
      <c r="A554" s="11"/>
    </row>
    <row r="555" ht="14.25" customHeight="1">
      <c r="A555" s="11"/>
    </row>
    <row r="556" ht="14.25" customHeight="1">
      <c r="A556" s="11"/>
    </row>
    <row r="557" ht="14.25" customHeight="1">
      <c r="A557" s="11"/>
    </row>
    <row r="558" ht="14.25" customHeight="1">
      <c r="A558" s="11"/>
    </row>
    <row r="559" ht="14.25" customHeight="1">
      <c r="A559" s="11"/>
    </row>
    <row r="560" ht="14.25" customHeight="1">
      <c r="A560" s="11"/>
    </row>
    <row r="561" ht="14.25" customHeight="1">
      <c r="A561" s="11"/>
    </row>
    <row r="562" ht="14.25" customHeight="1">
      <c r="A562" s="11"/>
    </row>
    <row r="563" ht="14.25" customHeight="1">
      <c r="A563" s="11"/>
    </row>
    <row r="564" ht="14.25" customHeight="1">
      <c r="A564" s="11"/>
    </row>
    <row r="565" ht="14.25" customHeight="1">
      <c r="A565" s="11"/>
    </row>
    <row r="566" ht="14.25" customHeight="1">
      <c r="A566" s="11"/>
    </row>
    <row r="567" ht="14.25" customHeight="1">
      <c r="A567" s="11"/>
    </row>
    <row r="568" ht="14.25" customHeight="1">
      <c r="A568" s="11"/>
    </row>
    <row r="569" ht="14.25" customHeight="1">
      <c r="A569" s="11"/>
    </row>
    <row r="570" ht="14.25" customHeight="1">
      <c r="A570" s="11"/>
    </row>
    <row r="571" ht="14.25" customHeight="1">
      <c r="A571" s="11"/>
    </row>
    <row r="572" ht="14.25" customHeight="1">
      <c r="A572" s="11"/>
    </row>
    <row r="573" ht="14.25" customHeight="1">
      <c r="A573" s="11"/>
    </row>
    <row r="574" ht="14.25" customHeight="1">
      <c r="A574" s="11"/>
    </row>
    <row r="575" ht="14.25" customHeight="1">
      <c r="A575" s="11"/>
    </row>
    <row r="576" ht="14.25" customHeight="1">
      <c r="A576" s="11"/>
    </row>
    <row r="577" ht="14.25" customHeight="1">
      <c r="A577" s="11"/>
    </row>
    <row r="578" ht="14.25" customHeight="1">
      <c r="A578" s="11"/>
    </row>
    <row r="579" ht="14.25" customHeight="1">
      <c r="A579" s="11"/>
    </row>
    <row r="580" ht="14.25" customHeight="1">
      <c r="A580" s="11"/>
    </row>
    <row r="581" ht="14.25" customHeight="1">
      <c r="A581" s="11"/>
    </row>
    <row r="582" ht="14.25" customHeight="1">
      <c r="A582" s="11"/>
    </row>
    <row r="583" ht="14.25" customHeight="1">
      <c r="A583" s="11"/>
    </row>
    <row r="584" ht="14.25" customHeight="1">
      <c r="A584" s="11"/>
    </row>
    <row r="585" ht="14.25" customHeight="1">
      <c r="A585" s="11"/>
    </row>
    <row r="586" ht="14.25" customHeight="1">
      <c r="A586" s="11"/>
    </row>
    <row r="587" ht="14.25" customHeight="1">
      <c r="A587" s="11"/>
    </row>
    <row r="588" ht="14.25" customHeight="1">
      <c r="A588" s="11"/>
    </row>
    <row r="589" ht="14.25" customHeight="1">
      <c r="A589" s="11"/>
    </row>
    <row r="590" ht="14.25" customHeight="1">
      <c r="A590" s="11"/>
    </row>
    <row r="591" ht="14.25" customHeight="1">
      <c r="A591" s="11"/>
    </row>
    <row r="592" ht="14.25" customHeight="1">
      <c r="A592" s="11"/>
    </row>
    <row r="593" ht="14.25" customHeight="1">
      <c r="A593" s="11"/>
    </row>
    <row r="594" ht="14.25" customHeight="1">
      <c r="A594" s="11"/>
    </row>
    <row r="595" ht="14.25" customHeight="1">
      <c r="A595" s="11"/>
    </row>
    <row r="596" ht="14.25" customHeight="1">
      <c r="A596" s="11"/>
    </row>
    <row r="597" ht="14.25" customHeight="1">
      <c r="A597" s="11"/>
    </row>
    <row r="598" ht="14.25" customHeight="1">
      <c r="A598" s="11"/>
    </row>
    <row r="599" ht="14.25" customHeight="1">
      <c r="A599" s="11"/>
    </row>
    <row r="600" ht="14.25" customHeight="1">
      <c r="A600" s="11"/>
    </row>
    <row r="601" ht="14.25" customHeight="1">
      <c r="A601" s="11"/>
    </row>
    <row r="602" ht="14.25" customHeight="1">
      <c r="A602" s="11"/>
    </row>
    <row r="603" ht="14.25" customHeight="1">
      <c r="A603" s="11"/>
    </row>
    <row r="604" ht="14.25" customHeight="1">
      <c r="A604" s="11"/>
    </row>
    <row r="605" ht="14.25" customHeight="1">
      <c r="A605" s="11"/>
    </row>
    <row r="606" ht="14.25" customHeight="1">
      <c r="A606" s="11"/>
    </row>
    <row r="607" ht="14.25" customHeight="1">
      <c r="A607" s="11"/>
    </row>
    <row r="608" ht="14.25" customHeight="1">
      <c r="A608" s="11"/>
    </row>
    <row r="609" ht="14.25" customHeight="1">
      <c r="A609" s="11"/>
    </row>
    <row r="610" ht="14.25" customHeight="1">
      <c r="A610" s="11"/>
    </row>
    <row r="611" ht="14.25" customHeight="1">
      <c r="A611" s="11"/>
    </row>
    <row r="612" ht="14.25" customHeight="1">
      <c r="A612" s="11"/>
    </row>
    <row r="613" ht="14.25" customHeight="1">
      <c r="A613" s="11"/>
    </row>
    <row r="614" ht="14.25" customHeight="1">
      <c r="A614" s="11"/>
    </row>
    <row r="615" ht="14.25" customHeight="1">
      <c r="A615" s="11"/>
    </row>
    <row r="616" ht="14.25" customHeight="1">
      <c r="A616" s="11"/>
    </row>
    <row r="617" ht="14.25" customHeight="1">
      <c r="A617" s="11"/>
    </row>
    <row r="618" ht="14.25" customHeight="1">
      <c r="A618" s="11"/>
    </row>
    <row r="619" ht="14.25" customHeight="1">
      <c r="A619" s="11"/>
    </row>
    <row r="620" ht="14.25" customHeight="1">
      <c r="A620" s="11"/>
    </row>
    <row r="621" ht="14.25" customHeight="1">
      <c r="A621" s="11"/>
    </row>
    <row r="622" ht="14.25" customHeight="1">
      <c r="A622" s="11"/>
    </row>
    <row r="623" ht="14.25" customHeight="1">
      <c r="A623" s="11"/>
    </row>
    <row r="624" ht="14.25" customHeight="1">
      <c r="A624" s="11"/>
    </row>
    <row r="625" ht="14.25" customHeight="1">
      <c r="A625" s="11"/>
    </row>
    <row r="626" ht="14.25" customHeight="1">
      <c r="A626" s="11"/>
    </row>
    <row r="627" ht="14.25" customHeight="1">
      <c r="A627" s="11"/>
    </row>
    <row r="628" ht="14.25" customHeight="1">
      <c r="A628" s="11"/>
    </row>
    <row r="629" ht="14.25" customHeight="1">
      <c r="A629" s="11"/>
    </row>
    <row r="630" ht="14.25" customHeight="1">
      <c r="A630" s="11"/>
    </row>
    <row r="631" ht="14.25" customHeight="1">
      <c r="A631" s="11"/>
    </row>
    <row r="632" ht="14.25" customHeight="1">
      <c r="A632" s="11"/>
    </row>
    <row r="633" ht="14.25" customHeight="1">
      <c r="A633" s="11"/>
    </row>
    <row r="634" ht="14.25" customHeight="1">
      <c r="A634" s="11"/>
    </row>
    <row r="635" ht="14.25" customHeight="1">
      <c r="A635" s="11"/>
    </row>
    <row r="636" ht="14.25" customHeight="1">
      <c r="A636" s="11"/>
    </row>
    <row r="637" ht="14.25" customHeight="1">
      <c r="A637" s="11"/>
    </row>
    <row r="638" ht="14.25" customHeight="1">
      <c r="A638" s="11"/>
    </row>
    <row r="639" ht="14.25" customHeight="1">
      <c r="A639" s="11"/>
    </row>
    <row r="640" ht="14.25" customHeight="1">
      <c r="A640" s="11"/>
    </row>
    <row r="641" ht="14.25" customHeight="1">
      <c r="A641" s="11"/>
    </row>
    <row r="642" ht="14.25" customHeight="1">
      <c r="A642" s="11"/>
    </row>
    <row r="643" ht="14.25" customHeight="1">
      <c r="A643" s="11"/>
    </row>
    <row r="644" ht="14.25" customHeight="1">
      <c r="A644" s="11"/>
    </row>
    <row r="645" ht="14.25" customHeight="1">
      <c r="A645" s="11"/>
    </row>
    <row r="646" ht="14.25" customHeight="1">
      <c r="A646" s="11"/>
    </row>
    <row r="647" ht="14.25" customHeight="1">
      <c r="A647" s="11"/>
    </row>
    <row r="648" ht="14.25" customHeight="1">
      <c r="A648" s="11"/>
    </row>
    <row r="649" ht="14.25" customHeight="1">
      <c r="A649" s="11"/>
    </row>
    <row r="650" ht="14.25" customHeight="1">
      <c r="A650" s="11"/>
    </row>
    <row r="651" ht="14.25" customHeight="1">
      <c r="A651" s="11"/>
    </row>
    <row r="652" ht="14.25" customHeight="1">
      <c r="A652" s="11"/>
    </row>
    <row r="653" ht="14.25" customHeight="1">
      <c r="A653" s="11"/>
    </row>
    <row r="654" ht="14.25" customHeight="1">
      <c r="A654" s="11"/>
    </row>
    <row r="655" ht="14.25" customHeight="1">
      <c r="A655" s="11"/>
    </row>
    <row r="656" ht="14.25" customHeight="1">
      <c r="A656" s="11"/>
    </row>
    <row r="657" ht="14.25" customHeight="1">
      <c r="A657" s="11"/>
    </row>
    <row r="658" ht="14.25" customHeight="1">
      <c r="A658" s="11"/>
    </row>
    <row r="659" ht="14.25" customHeight="1">
      <c r="A659" s="11"/>
    </row>
    <row r="660" ht="14.25" customHeight="1">
      <c r="A660" s="11"/>
    </row>
    <row r="661" ht="14.25" customHeight="1">
      <c r="A661" s="11"/>
    </row>
    <row r="662" ht="14.25" customHeight="1">
      <c r="A662" s="11"/>
    </row>
    <row r="663" ht="14.25" customHeight="1">
      <c r="A663" s="11"/>
    </row>
    <row r="664" ht="14.25" customHeight="1">
      <c r="A664" s="11"/>
    </row>
    <row r="665" ht="14.25" customHeight="1">
      <c r="A665" s="11"/>
    </row>
    <row r="666" ht="14.25" customHeight="1">
      <c r="A666" s="11"/>
    </row>
    <row r="667" ht="14.25" customHeight="1">
      <c r="A667" s="11"/>
    </row>
    <row r="668" ht="14.25" customHeight="1">
      <c r="A668" s="11"/>
    </row>
    <row r="669" ht="14.25" customHeight="1">
      <c r="A669" s="11"/>
    </row>
    <row r="670" ht="14.25" customHeight="1">
      <c r="A670" s="11"/>
    </row>
    <row r="671" ht="14.25" customHeight="1">
      <c r="A671" s="11"/>
    </row>
    <row r="672" ht="14.25" customHeight="1">
      <c r="A672" s="11"/>
    </row>
    <row r="673" ht="14.25" customHeight="1">
      <c r="A673" s="11"/>
    </row>
    <row r="674" ht="14.25" customHeight="1">
      <c r="A674" s="11"/>
    </row>
    <row r="675" ht="14.25" customHeight="1">
      <c r="A675" s="11"/>
    </row>
    <row r="676" ht="14.25" customHeight="1">
      <c r="A676" s="11"/>
    </row>
    <row r="677" ht="14.25" customHeight="1">
      <c r="A677" s="11"/>
    </row>
    <row r="678" ht="14.25" customHeight="1">
      <c r="A678" s="11"/>
    </row>
    <row r="679" ht="14.25" customHeight="1">
      <c r="A679" s="11"/>
    </row>
    <row r="680" ht="14.25" customHeight="1">
      <c r="A680" s="11"/>
    </row>
    <row r="681" ht="14.25" customHeight="1">
      <c r="A681" s="11"/>
    </row>
    <row r="682" ht="14.25" customHeight="1">
      <c r="A682" s="11"/>
    </row>
    <row r="683" ht="14.25" customHeight="1">
      <c r="A683" s="11"/>
    </row>
    <row r="684" ht="14.25" customHeight="1">
      <c r="A684" s="11"/>
    </row>
    <row r="685" ht="14.25" customHeight="1">
      <c r="A685" s="11"/>
    </row>
    <row r="686" ht="14.25" customHeight="1">
      <c r="A686" s="11"/>
    </row>
    <row r="687" ht="14.25" customHeight="1">
      <c r="A687" s="11"/>
    </row>
    <row r="688" ht="14.25" customHeight="1">
      <c r="A688" s="11"/>
    </row>
    <row r="689" ht="14.25" customHeight="1">
      <c r="A689" s="11"/>
    </row>
    <row r="690" ht="14.25" customHeight="1">
      <c r="A690" s="11"/>
    </row>
    <row r="691" ht="14.25" customHeight="1">
      <c r="A691" s="11"/>
    </row>
    <row r="692" ht="14.25" customHeight="1">
      <c r="A692" s="11"/>
    </row>
    <row r="693" ht="14.25" customHeight="1">
      <c r="A693" s="11"/>
    </row>
    <row r="694" ht="14.25" customHeight="1">
      <c r="A694" s="11"/>
    </row>
    <row r="695" ht="14.25" customHeight="1">
      <c r="A695" s="11"/>
    </row>
    <row r="696" ht="14.25" customHeight="1">
      <c r="A696" s="11"/>
    </row>
    <row r="697" ht="14.25" customHeight="1">
      <c r="A697" s="11"/>
    </row>
    <row r="698" ht="14.25" customHeight="1">
      <c r="A698" s="11"/>
    </row>
    <row r="699" ht="14.25" customHeight="1">
      <c r="A699" s="11"/>
    </row>
    <row r="700" ht="14.25" customHeight="1">
      <c r="A700" s="11"/>
    </row>
    <row r="701" ht="14.25" customHeight="1">
      <c r="A701" s="11"/>
    </row>
    <row r="702" ht="14.25" customHeight="1">
      <c r="A702" s="11"/>
    </row>
    <row r="703" ht="14.25" customHeight="1">
      <c r="A703" s="11"/>
    </row>
    <row r="704" ht="14.25" customHeight="1">
      <c r="A704" s="11"/>
    </row>
    <row r="705" ht="14.25" customHeight="1">
      <c r="A705" s="11"/>
    </row>
    <row r="706" ht="14.25" customHeight="1">
      <c r="A706" s="11"/>
    </row>
    <row r="707" ht="14.25" customHeight="1">
      <c r="A707" s="11"/>
    </row>
    <row r="708" ht="14.25" customHeight="1">
      <c r="A708" s="11"/>
    </row>
    <row r="709" ht="14.25" customHeight="1">
      <c r="A709" s="11"/>
    </row>
    <row r="710" ht="14.25" customHeight="1">
      <c r="A710" s="11"/>
    </row>
    <row r="711" ht="14.25" customHeight="1">
      <c r="A711" s="11"/>
    </row>
    <row r="712" ht="14.25" customHeight="1">
      <c r="A712" s="11"/>
    </row>
    <row r="713" ht="14.25" customHeight="1">
      <c r="A713" s="11"/>
    </row>
    <row r="714" ht="14.25" customHeight="1">
      <c r="A714" s="11"/>
    </row>
    <row r="715" ht="14.25" customHeight="1">
      <c r="A715" s="11"/>
    </row>
    <row r="716" ht="14.25" customHeight="1">
      <c r="A716" s="11"/>
    </row>
    <row r="717" ht="14.25" customHeight="1">
      <c r="A717" s="11"/>
    </row>
    <row r="718" ht="14.25" customHeight="1">
      <c r="A718" s="11"/>
    </row>
    <row r="719" ht="14.25" customHeight="1">
      <c r="A719" s="11"/>
    </row>
    <row r="720" ht="14.25" customHeight="1">
      <c r="A720" s="11"/>
    </row>
    <row r="721" ht="14.25" customHeight="1">
      <c r="A721" s="11"/>
    </row>
    <row r="722" ht="14.25" customHeight="1">
      <c r="A722" s="11"/>
    </row>
    <row r="723" ht="14.25" customHeight="1">
      <c r="A723" s="11"/>
    </row>
    <row r="724" ht="14.25" customHeight="1">
      <c r="A724" s="11"/>
    </row>
    <row r="725" ht="14.25" customHeight="1">
      <c r="A725" s="11"/>
    </row>
    <row r="726" ht="14.25" customHeight="1">
      <c r="A726" s="11"/>
    </row>
    <row r="727" ht="14.25" customHeight="1">
      <c r="A727" s="11"/>
    </row>
    <row r="728" ht="14.25" customHeight="1">
      <c r="A728" s="11"/>
    </row>
    <row r="729" ht="14.25" customHeight="1">
      <c r="A729" s="11"/>
    </row>
    <row r="730" ht="14.25" customHeight="1">
      <c r="A730" s="11"/>
    </row>
    <row r="731" ht="14.25" customHeight="1">
      <c r="A731" s="11"/>
    </row>
    <row r="732" ht="14.25" customHeight="1">
      <c r="A732" s="11"/>
    </row>
    <row r="733" ht="14.25" customHeight="1">
      <c r="A733" s="11"/>
    </row>
    <row r="734" ht="14.25" customHeight="1">
      <c r="A734" s="11"/>
    </row>
    <row r="735" ht="14.25" customHeight="1">
      <c r="A735" s="11"/>
    </row>
    <row r="736" ht="14.25" customHeight="1">
      <c r="A736" s="11"/>
    </row>
    <row r="737" ht="14.25" customHeight="1">
      <c r="A737" s="11"/>
    </row>
    <row r="738" ht="14.25" customHeight="1">
      <c r="A738" s="11"/>
    </row>
    <row r="739" ht="14.25" customHeight="1">
      <c r="A739" s="11"/>
    </row>
    <row r="740" ht="14.25" customHeight="1">
      <c r="A740" s="11"/>
    </row>
    <row r="741" ht="14.25" customHeight="1">
      <c r="A741" s="11"/>
    </row>
    <row r="742" ht="14.25" customHeight="1">
      <c r="A742" s="11"/>
    </row>
    <row r="743" ht="14.25" customHeight="1">
      <c r="A743" s="11"/>
    </row>
    <row r="744" ht="14.25" customHeight="1">
      <c r="A744" s="11"/>
    </row>
    <row r="745" ht="14.25" customHeight="1">
      <c r="A745" s="11"/>
    </row>
    <row r="746" ht="14.25" customHeight="1">
      <c r="A746" s="11"/>
    </row>
    <row r="747" ht="14.25" customHeight="1">
      <c r="A747" s="11"/>
    </row>
    <row r="748" ht="14.25" customHeight="1">
      <c r="A748" s="11"/>
    </row>
    <row r="749" ht="14.25" customHeight="1">
      <c r="A749" s="11"/>
    </row>
    <row r="750" ht="14.25" customHeight="1">
      <c r="A750" s="11"/>
    </row>
    <row r="751" ht="14.25" customHeight="1">
      <c r="A751" s="11"/>
    </row>
    <row r="752" ht="14.25" customHeight="1">
      <c r="A752" s="11"/>
    </row>
    <row r="753" ht="14.25" customHeight="1">
      <c r="A753" s="11"/>
    </row>
    <row r="754" ht="14.25" customHeight="1">
      <c r="A754" s="11"/>
    </row>
    <row r="755" ht="14.25" customHeight="1">
      <c r="A755" s="11"/>
    </row>
    <row r="756" ht="14.25" customHeight="1">
      <c r="A756" s="11"/>
    </row>
    <row r="757" ht="14.25" customHeight="1">
      <c r="A757" s="11"/>
    </row>
    <row r="758" ht="14.25" customHeight="1">
      <c r="A758" s="11"/>
    </row>
    <row r="759" ht="14.25" customHeight="1">
      <c r="A759" s="11"/>
    </row>
    <row r="760" ht="14.25" customHeight="1">
      <c r="A760" s="11"/>
    </row>
    <row r="761" ht="14.25" customHeight="1">
      <c r="A761" s="11"/>
    </row>
    <row r="762" ht="14.25" customHeight="1">
      <c r="A762" s="11"/>
    </row>
    <row r="763" ht="14.25" customHeight="1">
      <c r="A763" s="11"/>
    </row>
    <row r="764" ht="14.25" customHeight="1">
      <c r="A764" s="11"/>
    </row>
    <row r="765" ht="14.25" customHeight="1">
      <c r="A765" s="11"/>
    </row>
    <row r="766" ht="14.25" customHeight="1">
      <c r="A766" s="11"/>
    </row>
    <row r="767" ht="14.25" customHeight="1">
      <c r="A767" s="11"/>
    </row>
    <row r="768" ht="14.25" customHeight="1">
      <c r="A768" s="11"/>
    </row>
    <row r="769" ht="14.25" customHeight="1">
      <c r="A769" s="11"/>
    </row>
    <row r="770" ht="14.25" customHeight="1">
      <c r="A770" s="11"/>
    </row>
    <row r="771" ht="14.25" customHeight="1">
      <c r="A771" s="11"/>
    </row>
    <row r="772" ht="14.25" customHeight="1">
      <c r="A772" s="11"/>
    </row>
    <row r="773" ht="14.25" customHeight="1">
      <c r="A773" s="11"/>
    </row>
    <row r="774" ht="14.25" customHeight="1">
      <c r="A774" s="11"/>
    </row>
    <row r="775" ht="14.25" customHeight="1">
      <c r="A775" s="11"/>
    </row>
    <row r="776" ht="14.25" customHeight="1">
      <c r="A776" s="11"/>
    </row>
    <row r="777" ht="14.25" customHeight="1">
      <c r="A777" s="11"/>
    </row>
    <row r="778" ht="14.25" customHeight="1">
      <c r="A778" s="11"/>
    </row>
    <row r="779" ht="14.25" customHeight="1">
      <c r="A779" s="11"/>
    </row>
    <row r="780" ht="14.25" customHeight="1">
      <c r="A780" s="11"/>
    </row>
    <row r="781" ht="14.25" customHeight="1">
      <c r="A781" s="11"/>
    </row>
    <row r="782" ht="14.25" customHeight="1">
      <c r="A782" s="11"/>
    </row>
    <row r="783" ht="14.25" customHeight="1">
      <c r="A783" s="11"/>
    </row>
    <row r="784" ht="14.25" customHeight="1">
      <c r="A784" s="11"/>
    </row>
    <row r="785" ht="14.25" customHeight="1">
      <c r="A785" s="11"/>
    </row>
    <row r="786" ht="14.25" customHeight="1">
      <c r="A786" s="11"/>
    </row>
    <row r="787" ht="14.25" customHeight="1">
      <c r="A787" s="11"/>
    </row>
    <row r="788" ht="14.25" customHeight="1">
      <c r="A788" s="11"/>
    </row>
    <row r="789" ht="14.25" customHeight="1">
      <c r="A789" s="11"/>
    </row>
    <row r="790" ht="14.25" customHeight="1">
      <c r="A790" s="11"/>
    </row>
    <row r="791" ht="14.25" customHeight="1">
      <c r="A791" s="11"/>
    </row>
    <row r="792" ht="14.25" customHeight="1">
      <c r="A792" s="11"/>
    </row>
    <row r="793" ht="14.25" customHeight="1">
      <c r="A793" s="11"/>
    </row>
    <row r="794" ht="14.25" customHeight="1">
      <c r="A794" s="11"/>
    </row>
    <row r="795" ht="14.25" customHeight="1">
      <c r="A795" s="11"/>
    </row>
    <row r="796" ht="14.25" customHeight="1">
      <c r="A796" s="11"/>
    </row>
    <row r="797" ht="14.25" customHeight="1">
      <c r="A797" s="11"/>
    </row>
    <row r="798" ht="14.25" customHeight="1">
      <c r="A798" s="11"/>
    </row>
    <row r="799" ht="14.25" customHeight="1">
      <c r="A799" s="11"/>
    </row>
    <row r="800" ht="14.25" customHeight="1">
      <c r="A800" s="11"/>
    </row>
    <row r="801" ht="14.25" customHeight="1">
      <c r="A801" s="11"/>
    </row>
    <row r="802" ht="14.25" customHeight="1">
      <c r="A802" s="11"/>
    </row>
    <row r="803" ht="14.25" customHeight="1">
      <c r="A803" s="11"/>
    </row>
    <row r="804" ht="14.25" customHeight="1">
      <c r="A804" s="11"/>
    </row>
    <row r="805" ht="14.25" customHeight="1">
      <c r="A805" s="11"/>
    </row>
    <row r="806" ht="14.25" customHeight="1">
      <c r="A806" s="11"/>
    </row>
    <row r="807" ht="14.25" customHeight="1">
      <c r="A807" s="11"/>
    </row>
    <row r="808" ht="14.25" customHeight="1">
      <c r="A808" s="11"/>
    </row>
    <row r="809" ht="14.25" customHeight="1">
      <c r="A809" s="11"/>
    </row>
    <row r="810" ht="14.25" customHeight="1">
      <c r="A810" s="11"/>
    </row>
    <row r="811" ht="14.25" customHeight="1">
      <c r="A811" s="11"/>
    </row>
    <row r="812" ht="14.25" customHeight="1">
      <c r="A812" s="11"/>
    </row>
    <row r="813" ht="14.25" customHeight="1">
      <c r="A813" s="11"/>
    </row>
    <row r="814" ht="14.25" customHeight="1">
      <c r="A814" s="11"/>
    </row>
    <row r="815" ht="14.25" customHeight="1">
      <c r="A815" s="11"/>
    </row>
    <row r="816" ht="14.25" customHeight="1">
      <c r="A816" s="11"/>
    </row>
    <row r="817" ht="14.25" customHeight="1">
      <c r="A817" s="11"/>
    </row>
    <row r="818" ht="14.25" customHeight="1">
      <c r="A818" s="11"/>
    </row>
    <row r="819" ht="14.25" customHeight="1">
      <c r="A819" s="11"/>
    </row>
    <row r="820" ht="14.25" customHeight="1">
      <c r="A820" s="11"/>
    </row>
    <row r="821" ht="14.25" customHeight="1">
      <c r="A821" s="11"/>
    </row>
    <row r="822" ht="14.25" customHeight="1">
      <c r="A822" s="11"/>
    </row>
    <row r="823" ht="14.25" customHeight="1">
      <c r="A823" s="11"/>
    </row>
    <row r="824" ht="14.25" customHeight="1">
      <c r="A824" s="11"/>
    </row>
    <row r="825" ht="14.25" customHeight="1">
      <c r="A825" s="11"/>
    </row>
    <row r="826" ht="14.25" customHeight="1">
      <c r="A826" s="11"/>
    </row>
    <row r="827" ht="14.25" customHeight="1">
      <c r="A827" s="11"/>
    </row>
    <row r="828" ht="14.25" customHeight="1">
      <c r="A828" s="11"/>
    </row>
    <row r="829" ht="14.25" customHeight="1">
      <c r="A829" s="11"/>
    </row>
    <row r="830" ht="14.25" customHeight="1">
      <c r="A830" s="11"/>
    </row>
    <row r="831" ht="14.25" customHeight="1">
      <c r="A831" s="11"/>
    </row>
    <row r="832" ht="14.25" customHeight="1">
      <c r="A832" s="11"/>
    </row>
    <row r="833" ht="14.25" customHeight="1">
      <c r="A833" s="11"/>
    </row>
    <row r="834" ht="14.25" customHeight="1">
      <c r="A834" s="11"/>
    </row>
    <row r="835" ht="14.25" customHeight="1">
      <c r="A835" s="11"/>
    </row>
    <row r="836" ht="14.25" customHeight="1">
      <c r="A836" s="11"/>
    </row>
    <row r="837" ht="14.25" customHeight="1">
      <c r="A837" s="11"/>
    </row>
    <row r="838" ht="14.25" customHeight="1">
      <c r="A838" s="11"/>
    </row>
    <row r="839" ht="14.25" customHeight="1">
      <c r="A839" s="11"/>
    </row>
    <row r="840" ht="14.25" customHeight="1">
      <c r="A840" s="11"/>
    </row>
    <row r="841" ht="14.25" customHeight="1">
      <c r="A841" s="11"/>
    </row>
    <row r="842" ht="14.25" customHeight="1">
      <c r="A842" s="11"/>
    </row>
    <row r="843" ht="14.25" customHeight="1">
      <c r="A843" s="11"/>
    </row>
    <row r="844" ht="14.25" customHeight="1">
      <c r="A844" s="11"/>
    </row>
    <row r="845" ht="14.25" customHeight="1">
      <c r="A845" s="11"/>
    </row>
    <row r="846" ht="14.25" customHeight="1">
      <c r="A846" s="11"/>
    </row>
    <row r="847" ht="14.25" customHeight="1">
      <c r="A847" s="11"/>
    </row>
    <row r="848" ht="14.25" customHeight="1">
      <c r="A848" s="11"/>
    </row>
    <row r="849" ht="14.25" customHeight="1">
      <c r="A849" s="11"/>
    </row>
    <row r="850" ht="14.25" customHeight="1">
      <c r="A850" s="11"/>
    </row>
    <row r="851" ht="14.25" customHeight="1">
      <c r="A851" s="11"/>
    </row>
    <row r="852" ht="14.25" customHeight="1">
      <c r="A852" s="11"/>
    </row>
    <row r="853" ht="14.25" customHeight="1">
      <c r="A853" s="11"/>
    </row>
    <row r="854" ht="14.25" customHeight="1">
      <c r="A854" s="11"/>
    </row>
    <row r="855" ht="14.25" customHeight="1">
      <c r="A855" s="11"/>
    </row>
    <row r="856" ht="14.25" customHeight="1">
      <c r="A856" s="11"/>
    </row>
    <row r="857" ht="14.25" customHeight="1">
      <c r="A857" s="11"/>
    </row>
    <row r="858" ht="14.25" customHeight="1">
      <c r="A858" s="11"/>
    </row>
    <row r="859" ht="14.25" customHeight="1">
      <c r="A859" s="11"/>
    </row>
    <row r="860" ht="14.25" customHeight="1">
      <c r="A860" s="11"/>
    </row>
    <row r="861" ht="14.25" customHeight="1">
      <c r="A861" s="11"/>
    </row>
    <row r="862" ht="14.25" customHeight="1">
      <c r="A862" s="11"/>
    </row>
    <row r="863" ht="14.25" customHeight="1">
      <c r="A863" s="11"/>
    </row>
    <row r="864" ht="14.25" customHeight="1">
      <c r="A864" s="11"/>
    </row>
    <row r="865" ht="14.25" customHeight="1">
      <c r="A865" s="11"/>
    </row>
    <row r="866" ht="14.25" customHeight="1">
      <c r="A866" s="11"/>
    </row>
    <row r="867" ht="14.25" customHeight="1">
      <c r="A867" s="11"/>
    </row>
    <row r="868" ht="14.25" customHeight="1">
      <c r="A868" s="11"/>
    </row>
    <row r="869" ht="14.25" customHeight="1">
      <c r="A869" s="11"/>
    </row>
    <row r="870" ht="14.25" customHeight="1">
      <c r="A870" s="11"/>
    </row>
    <row r="871" ht="14.25" customHeight="1">
      <c r="A871" s="11"/>
    </row>
    <row r="872" ht="14.25" customHeight="1">
      <c r="A872" s="11"/>
    </row>
    <row r="873" ht="14.25" customHeight="1">
      <c r="A873" s="11"/>
    </row>
    <row r="874" ht="14.25" customHeight="1">
      <c r="A874" s="11"/>
    </row>
    <row r="875" ht="14.25" customHeight="1">
      <c r="A875" s="11"/>
    </row>
    <row r="876" ht="14.25" customHeight="1">
      <c r="A876" s="11"/>
    </row>
    <row r="877" ht="14.25" customHeight="1">
      <c r="A877" s="11"/>
    </row>
    <row r="878" ht="14.25" customHeight="1">
      <c r="A878" s="11"/>
    </row>
    <row r="879" ht="14.25" customHeight="1">
      <c r="A879" s="11"/>
    </row>
    <row r="880" ht="14.25" customHeight="1">
      <c r="A880" s="11"/>
    </row>
    <row r="881" ht="14.25" customHeight="1">
      <c r="A881" s="11"/>
    </row>
    <row r="882" ht="14.25" customHeight="1">
      <c r="A882" s="11"/>
    </row>
    <row r="883" ht="14.25" customHeight="1">
      <c r="A883" s="11"/>
    </row>
    <row r="884" ht="14.25" customHeight="1">
      <c r="A884" s="11"/>
    </row>
    <row r="885" ht="14.25" customHeight="1">
      <c r="A885" s="11"/>
    </row>
    <row r="886" ht="14.25" customHeight="1">
      <c r="A886" s="11"/>
    </row>
    <row r="887" ht="14.25" customHeight="1">
      <c r="A887" s="11"/>
    </row>
    <row r="888" ht="14.25" customHeight="1">
      <c r="A888" s="11"/>
    </row>
    <row r="889" ht="14.25" customHeight="1">
      <c r="A889" s="11"/>
    </row>
    <row r="890" ht="14.25" customHeight="1">
      <c r="A890" s="11"/>
    </row>
    <row r="891" ht="14.25" customHeight="1">
      <c r="A891" s="11"/>
    </row>
    <row r="892" ht="14.25" customHeight="1">
      <c r="A892" s="11"/>
    </row>
    <row r="893" ht="14.25" customHeight="1">
      <c r="A893" s="11"/>
    </row>
    <row r="894" ht="14.25" customHeight="1">
      <c r="A894" s="11"/>
    </row>
    <row r="895" ht="14.25" customHeight="1">
      <c r="A895" s="11"/>
    </row>
    <row r="896" ht="14.25" customHeight="1">
      <c r="A896" s="11"/>
    </row>
    <row r="897" ht="14.25" customHeight="1">
      <c r="A897" s="11"/>
    </row>
    <row r="898" ht="14.25" customHeight="1">
      <c r="A898" s="11"/>
    </row>
    <row r="899" ht="14.25" customHeight="1">
      <c r="A899" s="11"/>
    </row>
    <row r="900" ht="14.25" customHeight="1">
      <c r="A900" s="11"/>
    </row>
    <row r="901" ht="14.25" customHeight="1">
      <c r="A901" s="11"/>
    </row>
    <row r="902" ht="14.25" customHeight="1">
      <c r="A902" s="11"/>
    </row>
    <row r="903" ht="14.25" customHeight="1">
      <c r="A903" s="11"/>
    </row>
    <row r="904" ht="14.25" customHeight="1">
      <c r="A904" s="11"/>
    </row>
    <row r="905" ht="14.25" customHeight="1">
      <c r="A905" s="11"/>
    </row>
    <row r="906" ht="14.25" customHeight="1">
      <c r="A906" s="11"/>
    </row>
    <row r="907" ht="14.25" customHeight="1">
      <c r="A907" s="11"/>
    </row>
    <row r="908" ht="14.25" customHeight="1">
      <c r="A908" s="11"/>
    </row>
    <row r="909" ht="14.25" customHeight="1">
      <c r="A909" s="11"/>
    </row>
    <row r="910" ht="14.25" customHeight="1">
      <c r="A910" s="11"/>
    </row>
    <row r="911" ht="14.25" customHeight="1">
      <c r="A911" s="11"/>
    </row>
    <row r="912" ht="14.25" customHeight="1">
      <c r="A912" s="11"/>
    </row>
    <row r="913" ht="14.25" customHeight="1">
      <c r="A913" s="11"/>
    </row>
    <row r="914" ht="14.25" customHeight="1">
      <c r="A914" s="11"/>
    </row>
    <row r="915" ht="14.25" customHeight="1">
      <c r="A915" s="11"/>
    </row>
    <row r="916" ht="14.25" customHeight="1">
      <c r="A916" s="11"/>
    </row>
    <row r="917" ht="14.25" customHeight="1">
      <c r="A917" s="11"/>
    </row>
    <row r="918" ht="14.25" customHeight="1">
      <c r="A918" s="11"/>
    </row>
    <row r="919" ht="14.25" customHeight="1">
      <c r="A919" s="11"/>
    </row>
    <row r="920" ht="14.25" customHeight="1">
      <c r="A920" s="11"/>
    </row>
    <row r="921" ht="14.25" customHeight="1">
      <c r="A921" s="11"/>
    </row>
    <row r="922" ht="14.25" customHeight="1">
      <c r="A922" s="11"/>
    </row>
    <row r="923" ht="14.25" customHeight="1">
      <c r="A923" s="11"/>
    </row>
    <row r="924" ht="14.25" customHeight="1">
      <c r="A924" s="11"/>
    </row>
    <row r="925" ht="14.25" customHeight="1">
      <c r="A925" s="11"/>
    </row>
    <row r="926" ht="14.25" customHeight="1">
      <c r="A926" s="11"/>
    </row>
    <row r="927" ht="14.25" customHeight="1">
      <c r="A927" s="11"/>
    </row>
    <row r="928" ht="14.25" customHeight="1">
      <c r="A928" s="11"/>
    </row>
    <row r="929" ht="14.25" customHeight="1">
      <c r="A929" s="11"/>
    </row>
    <row r="930" ht="14.25" customHeight="1">
      <c r="A930" s="11"/>
    </row>
    <row r="931" ht="14.25" customHeight="1">
      <c r="A931" s="11"/>
    </row>
    <row r="932" ht="14.25" customHeight="1">
      <c r="A932" s="11"/>
    </row>
    <row r="933" ht="14.25" customHeight="1">
      <c r="A933" s="11"/>
    </row>
    <row r="934" ht="14.25" customHeight="1">
      <c r="A934" s="11"/>
    </row>
    <row r="935" ht="14.25" customHeight="1">
      <c r="A935" s="11"/>
    </row>
    <row r="936" ht="14.25" customHeight="1">
      <c r="A936" s="11"/>
    </row>
    <row r="937" ht="14.25" customHeight="1">
      <c r="A937" s="11"/>
    </row>
    <row r="938" ht="14.25" customHeight="1">
      <c r="A938" s="11"/>
    </row>
    <row r="939" ht="14.25" customHeight="1">
      <c r="A939" s="11"/>
    </row>
    <row r="940" ht="14.25" customHeight="1">
      <c r="A940" s="11"/>
    </row>
    <row r="941" ht="14.25" customHeight="1">
      <c r="A941" s="11"/>
    </row>
    <row r="942" ht="14.25" customHeight="1">
      <c r="A942" s="11"/>
    </row>
    <row r="943" ht="14.25" customHeight="1">
      <c r="A943" s="11"/>
    </row>
    <row r="944" ht="14.25" customHeight="1">
      <c r="A944" s="11"/>
    </row>
    <row r="945" ht="14.25" customHeight="1">
      <c r="A945" s="11"/>
    </row>
    <row r="946" ht="14.25" customHeight="1">
      <c r="A946" s="11"/>
    </row>
    <row r="947" ht="14.25" customHeight="1">
      <c r="A947" s="11"/>
    </row>
    <row r="948" ht="14.25" customHeight="1">
      <c r="A948" s="11"/>
    </row>
    <row r="949" ht="14.25" customHeight="1">
      <c r="A949" s="11"/>
    </row>
    <row r="950" ht="14.25" customHeight="1">
      <c r="A950" s="11"/>
    </row>
    <row r="951" ht="14.25" customHeight="1">
      <c r="A951" s="11"/>
    </row>
    <row r="952" ht="14.25" customHeight="1">
      <c r="A952" s="11"/>
    </row>
    <row r="953" ht="14.25" customHeight="1">
      <c r="A953" s="11"/>
    </row>
    <row r="954" ht="14.25" customHeight="1">
      <c r="A954" s="11"/>
    </row>
    <row r="955" ht="14.25" customHeight="1">
      <c r="A955" s="11"/>
    </row>
    <row r="956" ht="14.25" customHeight="1">
      <c r="A956" s="11"/>
    </row>
    <row r="957" ht="14.25" customHeight="1">
      <c r="A957" s="11"/>
    </row>
    <row r="958" ht="14.25" customHeight="1">
      <c r="A958" s="11"/>
    </row>
    <row r="959" ht="14.25" customHeight="1">
      <c r="A959" s="11"/>
    </row>
    <row r="960" ht="14.25" customHeight="1">
      <c r="A960" s="11"/>
    </row>
    <row r="961" ht="14.25" customHeight="1">
      <c r="A961" s="11"/>
    </row>
    <row r="962" ht="14.25" customHeight="1">
      <c r="A962" s="11"/>
    </row>
    <row r="963" ht="14.25" customHeight="1">
      <c r="A963" s="11"/>
    </row>
    <row r="964" ht="14.25" customHeight="1">
      <c r="A964" s="11"/>
    </row>
    <row r="965" ht="14.25" customHeight="1">
      <c r="A965" s="11"/>
    </row>
    <row r="966" ht="14.25" customHeight="1">
      <c r="A966" s="11"/>
    </row>
    <row r="967" ht="14.25" customHeight="1">
      <c r="A967" s="11"/>
    </row>
    <row r="968" ht="14.25" customHeight="1">
      <c r="A968" s="11"/>
    </row>
    <row r="969" ht="14.25" customHeight="1">
      <c r="A969" s="11"/>
    </row>
    <row r="970" ht="14.25" customHeight="1">
      <c r="A970" s="11"/>
    </row>
    <row r="971" ht="14.25" customHeight="1">
      <c r="A971" s="11"/>
    </row>
    <row r="972" ht="14.25" customHeight="1">
      <c r="A972" s="11"/>
    </row>
    <row r="973" ht="14.25" customHeight="1">
      <c r="A973" s="11"/>
    </row>
    <row r="974" ht="14.25" customHeight="1">
      <c r="A974" s="11"/>
    </row>
    <row r="975" ht="14.25" customHeight="1">
      <c r="A975" s="11"/>
    </row>
    <row r="976" ht="14.25" customHeight="1">
      <c r="A976" s="11"/>
    </row>
    <row r="977" ht="14.25" customHeight="1">
      <c r="A977" s="11"/>
    </row>
    <row r="978" ht="14.25" customHeight="1">
      <c r="A978" s="11"/>
    </row>
    <row r="979" ht="14.25" customHeight="1">
      <c r="A979" s="11"/>
    </row>
    <row r="980" ht="14.25" customHeight="1">
      <c r="A980" s="11"/>
    </row>
    <row r="981" ht="14.25" customHeight="1">
      <c r="A981" s="11"/>
    </row>
    <row r="982" ht="14.25" customHeight="1">
      <c r="A982" s="11"/>
    </row>
    <row r="983" ht="14.25" customHeight="1">
      <c r="A983" s="11"/>
    </row>
    <row r="984" ht="14.25" customHeight="1">
      <c r="A984" s="11"/>
    </row>
    <row r="985" ht="14.25" customHeight="1">
      <c r="A985" s="11"/>
    </row>
    <row r="986" ht="14.25" customHeight="1">
      <c r="A986" s="11"/>
    </row>
    <row r="987" ht="14.25" customHeight="1">
      <c r="A987" s="11"/>
    </row>
    <row r="988" ht="14.25" customHeight="1">
      <c r="A988" s="11"/>
    </row>
    <row r="989" ht="14.25" customHeight="1">
      <c r="A989" s="11"/>
    </row>
    <row r="990" ht="14.25" customHeight="1">
      <c r="A990" s="11"/>
    </row>
    <row r="991" ht="14.25" customHeight="1">
      <c r="A991" s="11"/>
    </row>
    <row r="992" ht="14.25" customHeight="1">
      <c r="A992" s="11"/>
    </row>
    <row r="993" ht="14.25" customHeight="1">
      <c r="A993" s="11"/>
    </row>
  </sheetData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hidden="1" min="3" max="3" width="45.29"/>
    <col hidden="1" min="4" max="4" width="14.43"/>
    <col hidden="1" min="9" max="10" width="14.43"/>
  </cols>
  <sheetData>
    <row r="1">
      <c r="A1" s="12"/>
      <c r="B1" s="13"/>
      <c r="C1" s="14" t="s">
        <v>81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>
      <c r="A2" s="12"/>
      <c r="B2" s="13"/>
      <c r="C2" s="14" t="s">
        <v>82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>
      <c r="A3" s="12"/>
      <c r="B3" s="13"/>
      <c r="C3" s="14" t="s">
        <v>83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>
      <c r="A4" s="12"/>
      <c r="B4" s="13"/>
      <c r="C4" s="14" t="s">
        <v>84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>
      <c r="A5" s="13"/>
      <c r="B5" s="15" t="s">
        <v>85</v>
      </c>
      <c r="C5" s="16" t="s">
        <v>86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>
      <c r="A6" s="13"/>
      <c r="B6" s="15" t="s">
        <v>87</v>
      </c>
      <c r="C6" s="17" t="s">
        <v>88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>
      <c r="A7" s="13"/>
      <c r="B7" s="15" t="s">
        <v>89</v>
      </c>
      <c r="C7" s="16">
        <v>11.0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>
      <c r="A8" s="13"/>
      <c r="B8" s="15" t="s">
        <v>90</v>
      </c>
      <c r="C8" s="18" t="s">
        <v>91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R8" s="19"/>
      <c r="S8" s="19"/>
      <c r="T8" s="19"/>
      <c r="U8" s="19"/>
      <c r="V8" s="19"/>
      <c r="W8" s="19"/>
      <c r="X8" s="19"/>
      <c r="Y8" s="19"/>
      <c r="Z8" s="19"/>
      <c r="AA8" s="20"/>
    </row>
    <row r="9">
      <c r="A9" s="21" t="s">
        <v>92</v>
      </c>
      <c r="B9" s="22" t="s">
        <v>93</v>
      </c>
      <c r="C9" s="23" t="s">
        <v>1</v>
      </c>
      <c r="D9" s="23" t="s">
        <v>94</v>
      </c>
      <c r="E9" s="23" t="s">
        <v>95</v>
      </c>
      <c r="F9" s="23" t="s">
        <v>96</v>
      </c>
      <c r="G9" s="23" t="s">
        <v>97</v>
      </c>
      <c r="H9" s="23" t="s">
        <v>98</v>
      </c>
      <c r="I9" s="23" t="s">
        <v>99</v>
      </c>
      <c r="J9" s="23" t="s">
        <v>100</v>
      </c>
      <c r="K9" s="23" t="s">
        <v>101</v>
      </c>
      <c r="L9" s="23" t="s">
        <v>102</v>
      </c>
      <c r="M9" s="23" t="s">
        <v>102</v>
      </c>
      <c r="N9" s="23" t="s">
        <v>103</v>
      </c>
      <c r="O9" s="23" t="s">
        <v>104</v>
      </c>
      <c r="R9" s="19"/>
      <c r="S9" s="19"/>
      <c r="T9" s="19"/>
      <c r="U9" s="19"/>
      <c r="V9" s="19"/>
      <c r="W9" s="19"/>
      <c r="X9" s="19"/>
      <c r="Y9" s="19"/>
      <c r="Z9" s="19"/>
      <c r="AA9" s="20"/>
    </row>
    <row r="10">
      <c r="A10" s="24"/>
      <c r="B10" s="25"/>
      <c r="C10" s="25"/>
      <c r="D10" s="26">
        <v>0.0</v>
      </c>
      <c r="E10" s="26">
        <v>0.2</v>
      </c>
      <c r="F10" s="26">
        <v>0.05</v>
      </c>
      <c r="G10" s="26">
        <v>0.25</v>
      </c>
      <c r="H10" s="26">
        <v>0.2</v>
      </c>
      <c r="I10" s="26">
        <v>0.0</v>
      </c>
      <c r="J10" s="26">
        <v>0.0</v>
      </c>
      <c r="K10" s="26">
        <v>0.3</v>
      </c>
      <c r="L10" s="27">
        <f>SUM(D10:K10)*100</f>
        <v>100</v>
      </c>
      <c r="M10" s="26">
        <f>SUM(D10:K10)</f>
        <v>1</v>
      </c>
      <c r="N10" s="23" t="s">
        <v>105</v>
      </c>
      <c r="O10" s="23" t="s">
        <v>106</v>
      </c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28">
        <v>1.0</v>
      </c>
      <c r="B11" s="29">
        <f>Worksheet!A2</f>
        <v>20301033</v>
      </c>
      <c r="C11" s="29" t="str">
        <f>Worksheet!B2</f>
        <v>Amlan Dutta</v>
      </c>
      <c r="D11" s="30"/>
      <c r="E11" s="30">
        <f>iferror(VLOOKUP(B11,'All Marks'!$A$2:$G$38,4,FALSE),0)</f>
        <v>18</v>
      </c>
      <c r="F11" s="30">
        <f>VLOOKUP(B11,'All Marks'!$A$2:$G$39,3,FALSE)</f>
        <v>3.75</v>
      </c>
      <c r="G11" s="30">
        <f>VLOOKUP(B11,'All Marks'!$A$2:$G$39,7,FALSE)</f>
        <v>3.5</v>
      </c>
      <c r="H11" s="30">
        <f>VLOOKUP(B11,'All Marks'!$A$2:$G$39,5,FALSE)</f>
        <v>7.5</v>
      </c>
      <c r="I11" s="30"/>
      <c r="J11" s="30"/>
      <c r="K11" s="30">
        <f>VLOOKUP(B11,'All Marks'!$A$2:$G$39,6,FALSE)</f>
        <v>18.8</v>
      </c>
      <c r="L11" s="31">
        <f t="shared" ref="L11:L47" si="1">SUM(E11:K11)</f>
        <v>51.55</v>
      </c>
      <c r="M11" s="28">
        <f t="shared" ref="M11:M47" si="2">IF(AND(L11&gt;=96.5,L11&lt;97),L11,ROUND(L11,0))</f>
        <v>52</v>
      </c>
      <c r="N11" s="32" t="str">
        <f t="shared" ref="N11:N47" si="3">IF(M11&lt;65,IF(M11&lt;55,IF(M11&lt;52,IF(M11&lt;50,"F","D-"),"D"),IF(M11&lt;57,"D+",IF(M11&lt;60,"C-","C"))),IF(M11&lt;75,IF(M11&lt;70,"C+","B-"),IF(M11&lt;85,IF(M11&lt;80,"B","B+"),IF(M11&lt;90,"A-",IF(M11&lt;97,"A","A+")))))</f>
        <v>D</v>
      </c>
      <c r="O11" s="32" t="str">
        <f t="shared" ref="O11:O47" si="4">IF(M11&lt;65,IF(M11&lt;55,IF(M11&lt;52,IF(M11&lt;50,"PLAIN","MINUS"),"PLAIN"),IF(M11&lt;57,"PLUS",IF(M11&lt;60,"MINUS","PLAIN"))),IF(M11&lt;75,IF(M11&lt;70,"PLUS","MINUS"),IF(M11&lt;85,IF(M11&lt;80,"PLAIN","PLUS"),IF(M11&lt;90,"MINUS",IF(M11&lt;97,"PLAIN","PLUS")))))</f>
        <v>PLAIN</v>
      </c>
      <c r="Q11" s="33">
        <f>'All Marks'!H2</f>
        <v>51.55</v>
      </c>
      <c r="R11" s="33" t="b">
        <f t="shared" ref="R11:R47" si="5">EQ(Q11,L11)</f>
        <v>1</v>
      </c>
    </row>
    <row r="12">
      <c r="A12" s="31">
        <v>2.0</v>
      </c>
      <c r="B12" s="29">
        <f>Worksheet!A3</f>
        <v>22101425</v>
      </c>
      <c r="C12" s="29" t="str">
        <f>Worksheet!B3</f>
        <v>Khandokar Yusuf Khalid</v>
      </c>
      <c r="D12" s="30"/>
      <c r="E12" s="30">
        <f>iferror(VLOOKUP(B12,'All Marks'!$A$2:$G$38,4,FALSE),0)</f>
        <v>16.66</v>
      </c>
      <c r="F12" s="30">
        <f>VLOOKUP(B12,'All Marks'!$A$2:$G$39,3,FALSE)</f>
        <v>3.75</v>
      </c>
      <c r="G12" s="30">
        <f>VLOOKUP(B12,'All Marks'!$A$2:$G$39,7,FALSE)</f>
        <v>3.59</v>
      </c>
      <c r="H12" s="30">
        <f>VLOOKUP(B12,'All Marks'!$A$2:$G$39,5,FALSE)</f>
        <v>3.5</v>
      </c>
      <c r="I12" s="30"/>
      <c r="J12" s="30"/>
      <c r="K12" s="30">
        <f>VLOOKUP(B12,'All Marks'!$A$2:$G$39,6,FALSE)</f>
        <v>18</v>
      </c>
      <c r="L12" s="31">
        <f t="shared" si="1"/>
        <v>45.5</v>
      </c>
      <c r="M12" s="28">
        <f t="shared" si="2"/>
        <v>46</v>
      </c>
      <c r="N12" s="32" t="str">
        <f t="shared" si="3"/>
        <v>F</v>
      </c>
      <c r="O12" s="32" t="str">
        <f t="shared" si="4"/>
        <v>PLAIN</v>
      </c>
      <c r="Q12" s="33">
        <f>'All Marks'!H3</f>
        <v>45.5</v>
      </c>
      <c r="R12" s="33" t="b">
        <f t="shared" si="5"/>
        <v>1</v>
      </c>
    </row>
    <row r="13">
      <c r="A13" s="31">
        <v>3.0</v>
      </c>
      <c r="B13" s="29">
        <f>Worksheet!A4</f>
        <v>22101748</v>
      </c>
      <c r="C13" s="29" t="str">
        <f>Worksheet!B4</f>
        <v>Mst. Zubaida Haque Jetu</v>
      </c>
      <c r="D13" s="30"/>
      <c r="E13" s="30">
        <f>iferror(VLOOKUP(B13,'All Marks'!$A$2:$G$38,4,FALSE),0)</f>
        <v>10</v>
      </c>
      <c r="F13" s="30">
        <f>VLOOKUP(B13,'All Marks'!$A$2:$G$39,3,FALSE)</f>
        <v>5</v>
      </c>
      <c r="G13" s="30">
        <f>VLOOKUP(B13,'All Marks'!$A$2:$G$39,7,FALSE)</f>
        <v>2.08</v>
      </c>
      <c r="H13" s="30">
        <f>VLOOKUP(B13,'All Marks'!$A$2:$G$39,5,FALSE)</f>
        <v>8.3</v>
      </c>
      <c r="I13" s="30"/>
      <c r="J13" s="30"/>
      <c r="K13" s="30">
        <f>VLOOKUP(B13,'All Marks'!$A$2:$G$39,6,FALSE)</f>
        <v>16.2</v>
      </c>
      <c r="L13" s="31">
        <f t="shared" si="1"/>
        <v>41.58</v>
      </c>
      <c r="M13" s="28">
        <f t="shared" si="2"/>
        <v>42</v>
      </c>
      <c r="N13" s="32" t="str">
        <f t="shared" si="3"/>
        <v>F</v>
      </c>
      <c r="O13" s="32" t="str">
        <f t="shared" si="4"/>
        <v>PLAIN</v>
      </c>
      <c r="Q13" s="33">
        <f>'All Marks'!H4</f>
        <v>41.58</v>
      </c>
      <c r="R13" s="33" t="b">
        <f t="shared" si="5"/>
        <v>1</v>
      </c>
    </row>
    <row r="14">
      <c r="A14" s="31">
        <v>4.0</v>
      </c>
      <c r="B14" s="29">
        <f>Worksheet!A5</f>
        <v>22299296</v>
      </c>
      <c r="C14" s="29" t="str">
        <f>Worksheet!B5</f>
        <v>Raihan Karim</v>
      </c>
      <c r="D14" s="30"/>
      <c r="E14" s="30">
        <f>iferror(VLOOKUP(B14,'All Marks'!$A$2:$G$38,4,FALSE),0)</f>
        <v>19.33</v>
      </c>
      <c r="F14" s="30">
        <f>VLOOKUP(B14,'All Marks'!$A$2:$G$39,3,FALSE)</f>
        <v>5</v>
      </c>
      <c r="G14" s="30">
        <f>VLOOKUP(B14,'All Marks'!$A$2:$G$39,7,FALSE)</f>
        <v>1.23</v>
      </c>
      <c r="H14" s="30">
        <f>VLOOKUP(B14,'All Marks'!$A$2:$G$39,5,FALSE)</f>
        <v>7.2</v>
      </c>
      <c r="I14" s="30"/>
      <c r="J14" s="30"/>
      <c r="K14" s="30">
        <f>VLOOKUP(B14,'All Marks'!$A$2:$G$39,6,FALSE)</f>
        <v>17.3</v>
      </c>
      <c r="L14" s="31">
        <f t="shared" si="1"/>
        <v>50.06</v>
      </c>
      <c r="M14" s="28">
        <f t="shared" si="2"/>
        <v>50</v>
      </c>
      <c r="N14" s="32" t="str">
        <f t="shared" si="3"/>
        <v>D-</v>
      </c>
      <c r="O14" s="32" t="str">
        <f t="shared" si="4"/>
        <v>MINUS</v>
      </c>
      <c r="Q14" s="33">
        <f>'All Marks'!H5</f>
        <v>50.06</v>
      </c>
      <c r="R14" s="33" t="b">
        <f t="shared" si="5"/>
        <v>1</v>
      </c>
    </row>
    <row r="15">
      <c r="A15" s="31">
        <v>5.0</v>
      </c>
      <c r="B15" s="29">
        <f>Worksheet!A6</f>
        <v>23101075</v>
      </c>
      <c r="C15" s="29" t="str">
        <f>Worksheet!B6</f>
        <v>Abida Nowsheen</v>
      </c>
      <c r="D15" s="30"/>
      <c r="E15" s="30">
        <f>iferror(VLOOKUP(B15,'All Marks'!$A$2:$G$38,4,FALSE),0)</f>
        <v>5.33</v>
      </c>
      <c r="F15" s="30">
        <f>VLOOKUP(B15,'All Marks'!$A$2:$G$39,3,FALSE)</f>
        <v>0</v>
      </c>
      <c r="G15" s="30">
        <f>VLOOKUP(B15,'All Marks'!$A$2:$G$39,7,FALSE)</f>
        <v>0</v>
      </c>
      <c r="H15" s="30">
        <f>VLOOKUP(B15,'All Marks'!$A$2:$G$39,5,FALSE)</f>
        <v>2.9</v>
      </c>
      <c r="I15" s="30"/>
      <c r="J15" s="30"/>
      <c r="K15" s="30">
        <f>VLOOKUP(B15,'All Marks'!$A$2:$G$39,6,FALSE)</f>
        <v>0</v>
      </c>
      <c r="L15" s="31">
        <f t="shared" si="1"/>
        <v>8.23</v>
      </c>
      <c r="M15" s="28">
        <f t="shared" si="2"/>
        <v>8</v>
      </c>
      <c r="N15" s="32" t="str">
        <f t="shared" si="3"/>
        <v>F</v>
      </c>
      <c r="O15" s="32" t="str">
        <f t="shared" si="4"/>
        <v>PLAIN</v>
      </c>
      <c r="Q15" s="33">
        <f>'All Marks'!H6</f>
        <v>8.23</v>
      </c>
      <c r="R15" s="33" t="b">
        <f t="shared" si="5"/>
        <v>1</v>
      </c>
    </row>
    <row r="16">
      <c r="A16" s="31">
        <v>6.0</v>
      </c>
      <c r="B16" s="29">
        <f>Worksheet!A7</f>
        <v>23101101</v>
      </c>
      <c r="C16" s="29" t="str">
        <f>Worksheet!B7</f>
        <v>Jubaida Jahan Prapti</v>
      </c>
      <c r="D16" s="30"/>
      <c r="E16" s="30">
        <f>iferror(VLOOKUP(B16,'All Marks'!$A$2:$G$38,4,FALSE),0)</f>
        <v>0</v>
      </c>
      <c r="F16" s="30">
        <f>VLOOKUP(B16,'All Marks'!$A$2:$G$39,3,FALSE)</f>
        <v>1.25</v>
      </c>
      <c r="G16" s="30">
        <f>VLOOKUP(B16,'All Marks'!$A$2:$G$39,7,FALSE)</f>
        <v>1.99</v>
      </c>
      <c r="H16" s="30">
        <f>VLOOKUP(B16,'All Marks'!$A$2:$G$39,5,FALSE)</f>
        <v>4</v>
      </c>
      <c r="I16" s="30"/>
      <c r="J16" s="30"/>
      <c r="K16" s="30">
        <f>VLOOKUP(B16,'All Marks'!$A$2:$G$39,6,FALSE)</f>
        <v>0</v>
      </c>
      <c r="L16" s="31">
        <f t="shared" si="1"/>
        <v>7.24</v>
      </c>
      <c r="M16" s="28">
        <f t="shared" si="2"/>
        <v>7</v>
      </c>
      <c r="N16" s="32" t="str">
        <f t="shared" si="3"/>
        <v>F</v>
      </c>
      <c r="O16" s="32" t="str">
        <f t="shared" si="4"/>
        <v>PLAIN</v>
      </c>
      <c r="Q16" s="33">
        <f>'All Marks'!H7</f>
        <v>7.24</v>
      </c>
      <c r="R16" s="33" t="b">
        <f t="shared" si="5"/>
        <v>1</v>
      </c>
    </row>
    <row r="17">
      <c r="A17" s="31">
        <v>7.0</v>
      </c>
      <c r="B17" s="29">
        <f>Worksheet!A8</f>
        <v>23101271</v>
      </c>
      <c r="C17" s="29" t="str">
        <f>Worksheet!B8</f>
        <v>Sazid Chowdhury</v>
      </c>
      <c r="D17" s="30"/>
      <c r="E17" s="30">
        <f>iferror(VLOOKUP(B17,'All Marks'!$A$2:$G$38,4,FALSE),0)</f>
        <v>14.66</v>
      </c>
      <c r="F17" s="30">
        <f>VLOOKUP(B17,'All Marks'!$A$2:$G$39,3,FALSE)</f>
        <v>5</v>
      </c>
      <c r="G17" s="30">
        <f>VLOOKUP(B17,'All Marks'!$A$2:$G$39,7,FALSE)</f>
        <v>11.7</v>
      </c>
      <c r="H17" s="30">
        <f>VLOOKUP(B17,'All Marks'!$A$2:$G$39,5,FALSE)</f>
        <v>2.3</v>
      </c>
      <c r="I17" s="30"/>
      <c r="J17" s="30"/>
      <c r="K17" s="30">
        <f>VLOOKUP(B17,'All Marks'!$A$2:$G$39,6,FALSE)</f>
        <v>18.4</v>
      </c>
      <c r="L17" s="34">
        <f t="shared" si="1"/>
        <v>52.06</v>
      </c>
      <c r="M17" s="28">
        <f t="shared" si="2"/>
        <v>52</v>
      </c>
      <c r="N17" s="32" t="str">
        <f t="shared" si="3"/>
        <v>D</v>
      </c>
      <c r="O17" s="32" t="str">
        <f t="shared" si="4"/>
        <v>PLAIN</v>
      </c>
      <c r="Q17" s="33">
        <f>'All Marks'!H8</f>
        <v>52.06</v>
      </c>
      <c r="R17" s="33" t="b">
        <f t="shared" si="5"/>
        <v>1</v>
      </c>
    </row>
    <row r="18">
      <c r="A18" s="31">
        <v>8.0</v>
      </c>
      <c r="B18" s="29">
        <f>Worksheet!A9</f>
        <v>23101378</v>
      </c>
      <c r="C18" s="29" t="str">
        <f>Worksheet!B9</f>
        <v>Sharif Al Rezoan</v>
      </c>
      <c r="D18" s="30"/>
      <c r="E18" s="30">
        <f>iferror(VLOOKUP(B18,'All Marks'!$A$2:$G$38,4,FALSE),0)</f>
        <v>17.33</v>
      </c>
      <c r="F18" s="30">
        <f>VLOOKUP(B18,'All Marks'!$A$2:$G$39,3,FALSE)</f>
        <v>2.5</v>
      </c>
      <c r="G18" s="30">
        <f>VLOOKUP(B18,'All Marks'!$A$2:$G$39,7,FALSE)</f>
        <v>11.44</v>
      </c>
      <c r="H18" s="30">
        <f>VLOOKUP(B18,'All Marks'!$A$2:$G$39,5,FALSE)</f>
        <v>8.3</v>
      </c>
      <c r="I18" s="30"/>
      <c r="J18" s="30"/>
      <c r="K18" s="30">
        <f>VLOOKUP(B18,'All Marks'!$A$2:$G$39,6,FALSE)</f>
        <v>20.3</v>
      </c>
      <c r="L18" s="31">
        <f t="shared" si="1"/>
        <v>59.87</v>
      </c>
      <c r="M18" s="28">
        <f t="shared" si="2"/>
        <v>60</v>
      </c>
      <c r="N18" s="32" t="str">
        <f t="shared" si="3"/>
        <v>C</v>
      </c>
      <c r="O18" s="32" t="str">
        <f t="shared" si="4"/>
        <v>PLAIN</v>
      </c>
      <c r="Q18" s="33">
        <f>'All Marks'!H9</f>
        <v>59.87</v>
      </c>
      <c r="R18" s="33" t="b">
        <f t="shared" si="5"/>
        <v>1</v>
      </c>
    </row>
    <row r="19">
      <c r="A19" s="31">
        <v>9.0</v>
      </c>
      <c r="B19" s="29">
        <f>Worksheet!A10</f>
        <v>23141047</v>
      </c>
      <c r="C19" s="29" t="str">
        <f>Worksheet!B10</f>
        <v>Mohammad Rashik Ruhullah Rafi</v>
      </c>
      <c r="D19" s="30"/>
      <c r="E19" s="30">
        <f>iferror(VLOOKUP(B19,'All Marks'!$A$2:$G$38,4,FALSE),0)</f>
        <v>11</v>
      </c>
      <c r="F19" s="30">
        <f>VLOOKUP(B19,'All Marks'!$A$2:$G$39,3,FALSE)</f>
        <v>0</v>
      </c>
      <c r="G19" s="30">
        <f>VLOOKUP(B19,'All Marks'!$A$2:$G$39,7,FALSE)</f>
        <v>1.23</v>
      </c>
      <c r="H19" s="30">
        <f>VLOOKUP(B19,'All Marks'!$A$2:$G$39,5,FALSE)</f>
        <v>5.8</v>
      </c>
      <c r="I19" s="30"/>
      <c r="J19" s="30"/>
      <c r="K19" s="30">
        <f>VLOOKUP(B19,'All Marks'!$A$2:$G$39,6,FALSE)</f>
        <v>0</v>
      </c>
      <c r="L19" s="34">
        <f t="shared" si="1"/>
        <v>18.03</v>
      </c>
      <c r="M19" s="28">
        <f t="shared" si="2"/>
        <v>18</v>
      </c>
      <c r="N19" s="32" t="str">
        <f t="shared" si="3"/>
        <v>F</v>
      </c>
      <c r="O19" s="32" t="str">
        <f t="shared" si="4"/>
        <v>PLAIN</v>
      </c>
      <c r="Q19" s="33">
        <f>'All Marks'!H10</f>
        <v>18.03</v>
      </c>
      <c r="R19" s="33" t="b">
        <f t="shared" si="5"/>
        <v>1</v>
      </c>
    </row>
    <row r="20">
      <c r="A20" s="31">
        <v>10.0</v>
      </c>
      <c r="B20" s="29">
        <f>Worksheet!A11</f>
        <v>23201093</v>
      </c>
      <c r="C20" s="29" t="str">
        <f>Worksheet!B11</f>
        <v>S.A.Rahman</v>
      </c>
      <c r="D20" s="30"/>
      <c r="E20" s="30">
        <f>iferror(VLOOKUP(B20,'All Marks'!$A$2:$G$38,4,FALSE),0)</f>
        <v>14.66</v>
      </c>
      <c r="F20" s="30">
        <f>VLOOKUP(B20,'All Marks'!$A$2:$G$39,3,FALSE)</f>
        <v>2.5</v>
      </c>
      <c r="G20" s="30">
        <f>VLOOKUP(B20,'All Marks'!$A$2:$G$39,7,FALSE)</f>
        <v>5</v>
      </c>
      <c r="H20" s="30">
        <f>VLOOKUP(B20,'All Marks'!$A$2:$G$39,5,FALSE)</f>
        <v>2.3</v>
      </c>
      <c r="I20" s="30"/>
      <c r="J20" s="30"/>
      <c r="K20" s="30">
        <f>VLOOKUP(B20,'All Marks'!$A$2:$G$39,6,FALSE)</f>
        <v>0</v>
      </c>
      <c r="L20" s="31">
        <f t="shared" si="1"/>
        <v>24.46</v>
      </c>
      <c r="M20" s="28">
        <f t="shared" si="2"/>
        <v>24</v>
      </c>
      <c r="N20" s="32" t="str">
        <f t="shared" si="3"/>
        <v>F</v>
      </c>
      <c r="O20" s="32" t="str">
        <f t="shared" si="4"/>
        <v>PLAIN</v>
      </c>
      <c r="Q20" s="33">
        <f>'All Marks'!H11</f>
        <v>24.46</v>
      </c>
      <c r="R20" s="33" t="b">
        <f t="shared" si="5"/>
        <v>1</v>
      </c>
    </row>
    <row r="21">
      <c r="A21" s="31">
        <v>11.0</v>
      </c>
      <c r="B21" s="29">
        <f>Worksheet!A12</f>
        <v>23201659</v>
      </c>
      <c r="C21" s="29" t="str">
        <f>Worksheet!B12</f>
        <v>Maisha Sanjida Akhi</v>
      </c>
      <c r="D21" s="30"/>
      <c r="E21" s="30">
        <f>iferror(VLOOKUP(B21,'All Marks'!$A$2:$G$38,4,FALSE),0)</f>
        <v>5</v>
      </c>
      <c r="F21" s="30">
        <f>VLOOKUP(B21,'All Marks'!$A$2:$G$39,3,FALSE)</f>
        <v>0</v>
      </c>
      <c r="G21" s="30">
        <f>VLOOKUP(B21,'All Marks'!$A$2:$G$39,7,FALSE)</f>
        <v>2.51</v>
      </c>
      <c r="H21" s="30">
        <f>VLOOKUP(B21,'All Marks'!$A$2:$G$39,5,FALSE)</f>
        <v>0</v>
      </c>
      <c r="I21" s="30"/>
      <c r="J21" s="30"/>
      <c r="K21" s="30">
        <f>VLOOKUP(B21,'All Marks'!$A$2:$G$39,6,FALSE)</f>
        <v>0</v>
      </c>
      <c r="L21" s="31">
        <f t="shared" si="1"/>
        <v>7.51</v>
      </c>
      <c r="M21" s="28">
        <f t="shared" si="2"/>
        <v>8</v>
      </c>
      <c r="N21" s="32" t="str">
        <f t="shared" si="3"/>
        <v>F</v>
      </c>
      <c r="O21" s="32" t="str">
        <f t="shared" si="4"/>
        <v>PLAIN</v>
      </c>
      <c r="Q21" s="33">
        <f>'All Marks'!H12</f>
        <v>7.51</v>
      </c>
      <c r="R21" s="33" t="b">
        <f t="shared" si="5"/>
        <v>1</v>
      </c>
    </row>
    <row r="22">
      <c r="A22" s="31">
        <v>12.0</v>
      </c>
      <c r="B22" s="29">
        <f>Worksheet!A13</f>
        <v>23301410</v>
      </c>
      <c r="C22" s="29" t="str">
        <f>Worksheet!B13</f>
        <v>Rafid Shahriar Auvro</v>
      </c>
      <c r="D22" s="30"/>
      <c r="E22" s="30">
        <f>iferror(VLOOKUP(B22,'All Marks'!$A$2:$G$38,4,FALSE),0)</f>
        <v>3.33</v>
      </c>
      <c r="F22" s="30">
        <f>VLOOKUP(B22,'All Marks'!$A$2:$G$39,3,FALSE)</f>
        <v>0</v>
      </c>
      <c r="G22" s="30">
        <f>VLOOKUP(B22,'All Marks'!$A$2:$G$39,7,FALSE)</f>
        <v>0</v>
      </c>
      <c r="H22" s="30">
        <f>VLOOKUP(B22,'All Marks'!$A$2:$G$39,5,FALSE)</f>
        <v>9.5</v>
      </c>
      <c r="I22" s="30"/>
      <c r="J22" s="30"/>
      <c r="K22" s="30">
        <f>VLOOKUP(B22,'All Marks'!$A$2:$G$39,6,FALSE)</f>
        <v>0</v>
      </c>
      <c r="L22" s="34">
        <f t="shared" si="1"/>
        <v>12.83</v>
      </c>
      <c r="M22" s="28">
        <f t="shared" si="2"/>
        <v>13</v>
      </c>
      <c r="N22" s="32" t="str">
        <f t="shared" si="3"/>
        <v>F</v>
      </c>
      <c r="O22" s="32" t="str">
        <f t="shared" si="4"/>
        <v>PLAIN</v>
      </c>
      <c r="Q22" s="33">
        <f>'All Marks'!H13</f>
        <v>12.83</v>
      </c>
      <c r="R22" s="33" t="b">
        <f t="shared" si="5"/>
        <v>1</v>
      </c>
    </row>
    <row r="23">
      <c r="A23" s="31">
        <v>13.0</v>
      </c>
      <c r="B23" s="29">
        <f>Worksheet!A14</f>
        <v>23301602</v>
      </c>
      <c r="C23" s="29" t="str">
        <f>Worksheet!B14</f>
        <v>Farhan Anjum</v>
      </c>
      <c r="D23" s="30"/>
      <c r="E23" s="30">
        <f>iferror(VLOOKUP(B23,'All Marks'!$A$2:$G$38,4,FALSE),0)</f>
        <v>0</v>
      </c>
      <c r="F23" s="30">
        <f>VLOOKUP(B23,'All Marks'!$A$2:$G$39,3,FALSE)</f>
        <v>1.25</v>
      </c>
      <c r="G23" s="30">
        <f>VLOOKUP(B23,'All Marks'!$A$2:$G$39,7,FALSE)</f>
        <v>3.89</v>
      </c>
      <c r="H23" s="30">
        <f>VLOOKUP(B23,'All Marks'!$A$2:$G$39,5,FALSE)</f>
        <v>6.3</v>
      </c>
      <c r="I23" s="30"/>
      <c r="J23" s="30"/>
      <c r="K23" s="30">
        <f>VLOOKUP(B23,'All Marks'!$A$2:$G$39,6,FALSE)</f>
        <v>0</v>
      </c>
      <c r="L23" s="31">
        <f t="shared" si="1"/>
        <v>11.44</v>
      </c>
      <c r="M23" s="28">
        <f t="shared" si="2"/>
        <v>11</v>
      </c>
      <c r="N23" s="32" t="str">
        <f t="shared" si="3"/>
        <v>F</v>
      </c>
      <c r="O23" s="32" t="str">
        <f t="shared" si="4"/>
        <v>PLAIN</v>
      </c>
      <c r="Q23" s="33">
        <f>'All Marks'!H14</f>
        <v>11.44</v>
      </c>
      <c r="R23" s="33" t="b">
        <f t="shared" si="5"/>
        <v>1</v>
      </c>
    </row>
    <row r="24">
      <c r="A24" s="31">
        <v>14.0</v>
      </c>
      <c r="B24" s="29">
        <f>Worksheet!A15</f>
        <v>24101390</v>
      </c>
      <c r="C24" s="29" t="str">
        <f>Worksheet!B15</f>
        <v>P. M. Mushfiqur Shium</v>
      </c>
      <c r="D24" s="30"/>
      <c r="E24" s="30">
        <f>iferror(VLOOKUP(B24,'All Marks'!$A$2:$G$38,4,FALSE),0)</f>
        <v>19.66</v>
      </c>
      <c r="F24" s="30">
        <f>VLOOKUP(B24,'All Marks'!$A$2:$G$39,3,FALSE)</f>
        <v>5</v>
      </c>
      <c r="G24" s="30">
        <f>VLOOKUP(B24,'All Marks'!$A$2:$G$39,7,FALSE)</f>
        <v>3.87</v>
      </c>
      <c r="H24" s="30">
        <f>VLOOKUP(B24,'All Marks'!$A$2:$G$39,5,FALSE)</f>
        <v>14</v>
      </c>
      <c r="I24" s="30"/>
      <c r="J24" s="30"/>
      <c r="K24" s="30">
        <f>VLOOKUP(B24,'All Marks'!$A$2:$G$39,6,FALSE)</f>
        <v>22.2</v>
      </c>
      <c r="L24" s="31">
        <f t="shared" si="1"/>
        <v>64.73</v>
      </c>
      <c r="M24" s="28">
        <f t="shared" si="2"/>
        <v>65</v>
      </c>
      <c r="N24" s="32" t="str">
        <f t="shared" si="3"/>
        <v>C+</v>
      </c>
      <c r="O24" s="32" t="str">
        <f t="shared" si="4"/>
        <v>PLUS</v>
      </c>
      <c r="Q24" s="33">
        <f>'All Marks'!H15</f>
        <v>64.73</v>
      </c>
      <c r="R24" s="33" t="b">
        <f t="shared" si="5"/>
        <v>1</v>
      </c>
    </row>
    <row r="25">
      <c r="A25" s="31">
        <v>15.0</v>
      </c>
      <c r="B25" s="29">
        <f>Worksheet!A16</f>
        <v>24101392</v>
      </c>
      <c r="C25" s="29" t="str">
        <f>Worksheet!B16</f>
        <v>Fardin Islam</v>
      </c>
      <c r="D25" s="30"/>
      <c r="E25" s="30">
        <f>iferror(VLOOKUP(B25,'All Marks'!$A$2:$G$38,4,FALSE),0)</f>
        <v>16.33</v>
      </c>
      <c r="F25" s="30">
        <f>VLOOKUP(B25,'All Marks'!$A$2:$G$39,3,FALSE)</f>
        <v>5</v>
      </c>
      <c r="G25" s="30">
        <f>VLOOKUP(B25,'All Marks'!$A$2:$G$39,7,FALSE)</f>
        <v>15</v>
      </c>
      <c r="H25" s="30">
        <f>VLOOKUP(B25,'All Marks'!$A$2:$G$39,5,FALSE)</f>
        <v>9.8</v>
      </c>
      <c r="I25" s="30"/>
      <c r="J25" s="30"/>
      <c r="K25" s="30">
        <f>VLOOKUP(B25,'All Marks'!$A$2:$G$39,6,FALSE)</f>
        <v>24</v>
      </c>
      <c r="L25" s="31">
        <f t="shared" si="1"/>
        <v>70.13</v>
      </c>
      <c r="M25" s="28">
        <f t="shared" si="2"/>
        <v>70</v>
      </c>
      <c r="N25" s="32" t="str">
        <f t="shared" si="3"/>
        <v>B-</v>
      </c>
      <c r="O25" s="32" t="str">
        <f t="shared" si="4"/>
        <v>MINUS</v>
      </c>
      <c r="Q25" s="33">
        <f>'All Marks'!H16</f>
        <v>70.13</v>
      </c>
      <c r="R25" s="33" t="b">
        <f t="shared" si="5"/>
        <v>1</v>
      </c>
    </row>
    <row r="26">
      <c r="A26" s="31">
        <v>16.0</v>
      </c>
      <c r="B26" s="29">
        <f>Worksheet!A17</f>
        <v>24101431</v>
      </c>
      <c r="C26" s="29" t="str">
        <f>Worksheet!B17</f>
        <v>Raheeb Al Zabir</v>
      </c>
      <c r="D26" s="30"/>
      <c r="E26" s="30">
        <f>iferror(VLOOKUP(B26,'All Marks'!$A$2:$G$38,4,FALSE),0)</f>
        <v>16.33</v>
      </c>
      <c r="F26" s="30">
        <f>VLOOKUP(B26,'All Marks'!$A$2:$G$39,3,FALSE)</f>
        <v>5</v>
      </c>
      <c r="G26" s="30">
        <f>VLOOKUP(B26,'All Marks'!$A$2:$G$39,7,FALSE)</f>
        <v>14.44</v>
      </c>
      <c r="H26" s="30">
        <f>VLOOKUP(B26,'All Marks'!$A$2:$G$39,5,FALSE)</f>
        <v>7.2</v>
      </c>
      <c r="I26" s="30"/>
      <c r="J26" s="30"/>
      <c r="K26" s="30">
        <f>VLOOKUP(B26,'All Marks'!$A$2:$G$39,6,FALSE)</f>
        <v>20.3</v>
      </c>
      <c r="L26" s="31">
        <f t="shared" si="1"/>
        <v>63.27</v>
      </c>
      <c r="M26" s="28">
        <f t="shared" si="2"/>
        <v>63</v>
      </c>
      <c r="N26" s="32" t="str">
        <f t="shared" si="3"/>
        <v>C</v>
      </c>
      <c r="O26" s="32" t="str">
        <f t="shared" si="4"/>
        <v>PLAIN</v>
      </c>
      <c r="Q26" s="33">
        <f>'All Marks'!H17</f>
        <v>63.27</v>
      </c>
      <c r="R26" s="33" t="b">
        <f t="shared" si="5"/>
        <v>1</v>
      </c>
    </row>
    <row r="27">
      <c r="A27" s="31">
        <v>17.0</v>
      </c>
      <c r="B27" s="29">
        <f>Worksheet!A18</f>
        <v>24101442</v>
      </c>
      <c r="C27" s="29" t="str">
        <f>Worksheet!B18</f>
        <v>Abdullah Al Noman</v>
      </c>
      <c r="D27" s="30"/>
      <c r="E27" s="30">
        <f>iferror(VLOOKUP(B27,'All Marks'!$A$2:$G$38,4,FALSE),0)</f>
        <v>16.66</v>
      </c>
      <c r="F27" s="30">
        <f>VLOOKUP(B27,'All Marks'!$A$2:$G$39,3,FALSE)</f>
        <v>5</v>
      </c>
      <c r="G27" s="30">
        <f>VLOOKUP(B27,'All Marks'!$A$2:$G$39,7,FALSE)</f>
        <v>8.34</v>
      </c>
      <c r="H27" s="30">
        <f>VLOOKUP(B27,'All Marks'!$A$2:$G$39,5,FALSE)</f>
        <v>10.6</v>
      </c>
      <c r="I27" s="30"/>
      <c r="J27" s="30"/>
      <c r="K27" s="30">
        <f>VLOOKUP(B27,'All Marks'!$A$2:$G$39,6,FALSE)</f>
        <v>21.8</v>
      </c>
      <c r="L27" s="31">
        <f t="shared" si="1"/>
        <v>62.4</v>
      </c>
      <c r="M27" s="28">
        <f t="shared" si="2"/>
        <v>62</v>
      </c>
      <c r="N27" s="32" t="str">
        <f t="shared" si="3"/>
        <v>C</v>
      </c>
      <c r="O27" s="32" t="str">
        <f t="shared" si="4"/>
        <v>PLAIN</v>
      </c>
      <c r="Q27" s="33">
        <f>'All Marks'!H18</f>
        <v>62.4</v>
      </c>
      <c r="R27" s="33" t="b">
        <f t="shared" si="5"/>
        <v>1</v>
      </c>
    </row>
    <row r="28">
      <c r="A28" s="31">
        <v>18.0</v>
      </c>
      <c r="B28" s="29">
        <f>Worksheet!A19</f>
        <v>24121353</v>
      </c>
      <c r="C28" s="29" t="str">
        <f>Worksheet!B19</f>
        <v>Ayatullah Osama Khan</v>
      </c>
      <c r="D28" s="30"/>
      <c r="E28" s="30">
        <f>iferror(VLOOKUP(B28,'All Marks'!$A$2:$G$38,4,FALSE),0)</f>
        <v>15.33</v>
      </c>
      <c r="F28" s="30">
        <f>VLOOKUP(B28,'All Marks'!$A$2:$G$39,3,FALSE)</f>
        <v>5</v>
      </c>
      <c r="G28" s="30">
        <f>VLOOKUP(B28,'All Marks'!$A$2:$G$39,7,FALSE)</f>
        <v>7.02</v>
      </c>
      <c r="H28" s="30">
        <f>VLOOKUP(B28,'All Marks'!$A$2:$G$39,5,FALSE)</f>
        <v>7.2</v>
      </c>
      <c r="I28" s="30"/>
      <c r="J28" s="30"/>
      <c r="K28" s="30">
        <f>VLOOKUP(B28,'All Marks'!$A$2:$G$39,6,FALSE)</f>
        <v>20.3</v>
      </c>
      <c r="L28" s="31">
        <f t="shared" si="1"/>
        <v>54.85</v>
      </c>
      <c r="M28" s="28">
        <f t="shared" si="2"/>
        <v>55</v>
      </c>
      <c r="N28" s="32" t="str">
        <f t="shared" si="3"/>
        <v>D+</v>
      </c>
      <c r="O28" s="32" t="str">
        <f t="shared" si="4"/>
        <v>PLUS</v>
      </c>
      <c r="Q28" s="33">
        <f>'All Marks'!H19</f>
        <v>54.85</v>
      </c>
      <c r="R28" s="33" t="b">
        <f t="shared" si="5"/>
        <v>1</v>
      </c>
    </row>
    <row r="29">
      <c r="A29" s="31">
        <v>19.0</v>
      </c>
      <c r="B29" s="29">
        <f>Worksheet!A20</f>
        <v>24141008</v>
      </c>
      <c r="C29" s="29" t="str">
        <f>Worksheet!B20</f>
        <v>Ashvin Al Afroz</v>
      </c>
      <c r="D29" s="30"/>
      <c r="E29" s="30">
        <f>iferror(VLOOKUP(B29,'All Marks'!$A$2:$G$38,4,FALSE),0)</f>
        <v>3.33</v>
      </c>
      <c r="F29" s="30">
        <f>VLOOKUP(B29,'All Marks'!$A$2:$G$39,3,FALSE)</f>
        <v>2.5</v>
      </c>
      <c r="G29" s="30">
        <f>VLOOKUP(B29,'All Marks'!$A$2:$G$39,7,FALSE)</f>
        <v>0</v>
      </c>
      <c r="H29" s="30">
        <f>VLOOKUP(B29,'All Marks'!$A$2:$G$39,5,FALSE)</f>
        <v>15.2</v>
      </c>
      <c r="I29" s="30"/>
      <c r="J29" s="30"/>
      <c r="K29" s="30">
        <f>VLOOKUP(B29,'All Marks'!$A$2:$G$39,6,FALSE)</f>
        <v>0</v>
      </c>
      <c r="L29" s="31">
        <f t="shared" si="1"/>
        <v>21.03</v>
      </c>
      <c r="M29" s="28">
        <f t="shared" si="2"/>
        <v>21</v>
      </c>
      <c r="N29" s="32" t="str">
        <f t="shared" si="3"/>
        <v>F</v>
      </c>
      <c r="O29" s="32" t="str">
        <f t="shared" si="4"/>
        <v>PLAIN</v>
      </c>
      <c r="Q29" s="33">
        <f>'All Marks'!H20</f>
        <v>21.03</v>
      </c>
      <c r="R29" s="33" t="b">
        <f t="shared" si="5"/>
        <v>1</v>
      </c>
    </row>
    <row r="30">
      <c r="A30" s="31">
        <v>20.0</v>
      </c>
      <c r="B30" s="29">
        <f>Worksheet!A21</f>
        <v>24141155</v>
      </c>
      <c r="C30" s="29" t="str">
        <f>Worksheet!B21</f>
        <v>Md. Abrar Mahib Pritom</v>
      </c>
      <c r="D30" s="30"/>
      <c r="E30" s="30">
        <f>iferror(VLOOKUP(B30,'All Marks'!$A$2:$G$38,4,FALSE),0)</f>
        <v>2.33</v>
      </c>
      <c r="F30" s="30">
        <f>VLOOKUP(B30,'All Marks'!$A$2:$G$39,3,FALSE)</f>
        <v>0</v>
      </c>
      <c r="G30" s="30">
        <f>VLOOKUP(B30,'All Marks'!$A$2:$G$39,7,FALSE)</f>
        <v>2.93</v>
      </c>
      <c r="H30" s="30">
        <f>VLOOKUP(B30,'All Marks'!$A$2:$G$39,5,FALSE)</f>
        <v>5.8</v>
      </c>
      <c r="I30" s="30"/>
      <c r="J30" s="30"/>
      <c r="K30" s="30">
        <f>VLOOKUP(B30,'All Marks'!$A$2:$G$39,6,FALSE)</f>
        <v>0</v>
      </c>
      <c r="L30" s="31">
        <f t="shared" si="1"/>
        <v>11.06</v>
      </c>
      <c r="M30" s="28">
        <f t="shared" si="2"/>
        <v>11</v>
      </c>
      <c r="N30" s="32" t="str">
        <f t="shared" si="3"/>
        <v>F</v>
      </c>
      <c r="O30" s="32" t="str">
        <f t="shared" si="4"/>
        <v>PLAIN</v>
      </c>
      <c r="Q30" s="33">
        <f>'All Marks'!H21</f>
        <v>11.06</v>
      </c>
      <c r="R30" s="33" t="b">
        <f t="shared" si="5"/>
        <v>1</v>
      </c>
    </row>
    <row r="31">
      <c r="A31" s="31">
        <v>21.0</v>
      </c>
      <c r="B31" s="29">
        <f>Worksheet!A22</f>
        <v>24201090</v>
      </c>
      <c r="C31" s="29" t="str">
        <f>Worksheet!B22</f>
        <v>Nafis As - Sami</v>
      </c>
      <c r="D31" s="30"/>
      <c r="E31" s="30">
        <f>iferror(VLOOKUP(B31,'All Marks'!$A$2:$G$38,4,FALSE),0)</f>
        <v>20</v>
      </c>
      <c r="F31" s="30">
        <f>VLOOKUP(B31,'All Marks'!$A$2:$G$39,3,FALSE)</f>
        <v>5</v>
      </c>
      <c r="G31" s="30">
        <f>VLOOKUP(B31,'All Marks'!$A$2:$G$39,7,FALSE)</f>
        <v>22</v>
      </c>
      <c r="H31" s="30">
        <f>VLOOKUP(B31,'All Marks'!$A$2:$G$39,5,FALSE)</f>
        <v>16.3</v>
      </c>
      <c r="I31" s="30"/>
      <c r="J31" s="30"/>
      <c r="K31" s="30">
        <f>VLOOKUP(B31,'All Marks'!$A$2:$G$39,6,FALSE)</f>
        <v>26.3</v>
      </c>
      <c r="L31" s="31">
        <f t="shared" si="1"/>
        <v>89.6</v>
      </c>
      <c r="M31" s="28">
        <f t="shared" si="2"/>
        <v>90</v>
      </c>
      <c r="N31" s="32" t="str">
        <f t="shared" si="3"/>
        <v>A</v>
      </c>
      <c r="O31" s="32" t="str">
        <f t="shared" si="4"/>
        <v>PLAIN</v>
      </c>
      <c r="Q31" s="33">
        <f>'All Marks'!H22</f>
        <v>89.6</v>
      </c>
      <c r="R31" s="33" t="b">
        <f t="shared" si="5"/>
        <v>1</v>
      </c>
    </row>
    <row r="32">
      <c r="A32" s="31">
        <v>22.0</v>
      </c>
      <c r="B32" s="29">
        <f>Worksheet!A23</f>
        <v>24201165</v>
      </c>
      <c r="C32" s="29" t="str">
        <f>Worksheet!B23</f>
        <v>Jahareen Tasmeem</v>
      </c>
      <c r="D32" s="30"/>
      <c r="E32" s="30">
        <f>iferror(VLOOKUP(B32,'All Marks'!$A$2:$G$38,4,FALSE),0)</f>
        <v>20</v>
      </c>
      <c r="F32" s="30">
        <f>VLOOKUP(B32,'All Marks'!$A$2:$G$39,3,FALSE)</f>
        <v>5</v>
      </c>
      <c r="G32" s="30">
        <f>VLOOKUP(B32,'All Marks'!$A$2:$G$39,7,FALSE)</f>
        <v>5.34</v>
      </c>
      <c r="H32" s="30">
        <f>VLOOKUP(B32,'All Marks'!$A$2:$G$39,5,FALSE)</f>
        <v>14.9</v>
      </c>
      <c r="I32" s="30"/>
      <c r="J32" s="30"/>
      <c r="K32" s="30">
        <f>VLOOKUP(B32,'All Marks'!$A$2:$G$39,6,FALSE)</f>
        <v>24.4</v>
      </c>
      <c r="L32" s="31">
        <f t="shared" si="1"/>
        <v>69.64</v>
      </c>
      <c r="M32" s="28">
        <f t="shared" si="2"/>
        <v>70</v>
      </c>
      <c r="N32" s="32" t="str">
        <f t="shared" si="3"/>
        <v>B-</v>
      </c>
      <c r="O32" s="32" t="str">
        <f t="shared" si="4"/>
        <v>MINUS</v>
      </c>
      <c r="Q32" s="33">
        <f>'All Marks'!H23</f>
        <v>69.64</v>
      </c>
      <c r="R32" s="33" t="b">
        <f t="shared" si="5"/>
        <v>1</v>
      </c>
    </row>
    <row r="33">
      <c r="A33" s="31">
        <v>23.0</v>
      </c>
      <c r="B33" s="29">
        <f>Worksheet!A24</f>
        <v>24201176</v>
      </c>
      <c r="C33" s="29" t="str">
        <f>Worksheet!B24</f>
        <v>Maheer Tajwar</v>
      </c>
      <c r="D33" s="30"/>
      <c r="E33" s="30">
        <f>iferror(VLOOKUP(B33,'All Marks'!$A$2:$G$38,4,FALSE),0)</f>
        <v>16.66</v>
      </c>
      <c r="F33" s="30">
        <f>VLOOKUP(B33,'All Marks'!$A$2:$G$39,3,FALSE)</f>
        <v>5</v>
      </c>
      <c r="G33" s="30">
        <f>VLOOKUP(B33,'All Marks'!$A$2:$G$39,7,FALSE)</f>
        <v>8.91</v>
      </c>
      <c r="H33" s="30">
        <f>VLOOKUP(B33,'All Marks'!$A$2:$G$39,5,FALSE)</f>
        <v>16.6</v>
      </c>
      <c r="I33" s="30"/>
      <c r="J33" s="30"/>
      <c r="K33" s="30">
        <f>VLOOKUP(B33,'All Marks'!$A$2:$G$39,6,FALSE)</f>
        <v>25.2</v>
      </c>
      <c r="L33" s="31">
        <f t="shared" si="1"/>
        <v>72.37</v>
      </c>
      <c r="M33" s="28">
        <f t="shared" si="2"/>
        <v>72</v>
      </c>
      <c r="N33" s="32" t="str">
        <f t="shared" si="3"/>
        <v>B-</v>
      </c>
      <c r="O33" s="32" t="str">
        <f t="shared" si="4"/>
        <v>MINUS</v>
      </c>
      <c r="Q33" s="33">
        <f>'All Marks'!H24</f>
        <v>72.37</v>
      </c>
      <c r="R33" s="33" t="b">
        <f t="shared" si="5"/>
        <v>1</v>
      </c>
    </row>
    <row r="34">
      <c r="A34" s="34">
        <v>24.0</v>
      </c>
      <c r="B34" s="29">
        <f>Worksheet!A25</f>
        <v>24201193</v>
      </c>
      <c r="C34" s="29" t="str">
        <f>Worksheet!B25</f>
        <v>Md.Fardin Islam</v>
      </c>
      <c r="D34" s="30"/>
      <c r="E34" s="30">
        <f>iferror(VLOOKUP(B34,'All Marks'!$A$2:$G$38,4,FALSE),0)</f>
        <v>19.33</v>
      </c>
      <c r="F34" s="30">
        <f>VLOOKUP(B34,'All Marks'!$A$2:$G$39,3,FALSE)</f>
        <v>5</v>
      </c>
      <c r="G34" s="30">
        <f>VLOOKUP(B34,'All Marks'!$A$2:$G$39,7,FALSE)</f>
        <v>21</v>
      </c>
      <c r="H34" s="30">
        <f>VLOOKUP(B34,'All Marks'!$A$2:$G$39,5,FALSE)</f>
        <v>14</v>
      </c>
      <c r="I34" s="30"/>
      <c r="J34" s="30"/>
      <c r="K34" s="30">
        <f>VLOOKUP(B34,'All Marks'!$A$2:$G$39,6,FALSE)</f>
        <v>25.5</v>
      </c>
      <c r="L34" s="34">
        <f t="shared" si="1"/>
        <v>84.83</v>
      </c>
      <c r="M34" s="35">
        <f t="shared" si="2"/>
        <v>85</v>
      </c>
      <c r="N34" s="36" t="str">
        <f t="shared" si="3"/>
        <v>A-</v>
      </c>
      <c r="O34" s="36" t="str">
        <f t="shared" si="4"/>
        <v>MINUS</v>
      </c>
      <c r="Q34" s="33">
        <f>'All Marks'!H25</f>
        <v>84.83</v>
      </c>
      <c r="R34" s="33" t="b">
        <f t="shared" si="5"/>
        <v>1</v>
      </c>
    </row>
    <row r="35">
      <c r="A35" s="31">
        <v>25.0</v>
      </c>
      <c r="B35" s="29">
        <f>Worksheet!A26</f>
        <v>24201199</v>
      </c>
      <c r="C35" s="29" t="str">
        <f>Worksheet!B26</f>
        <v>Faiyaz Rahman</v>
      </c>
      <c r="D35" s="30"/>
      <c r="E35" s="30">
        <f>iferror(VLOOKUP(B35,'All Marks'!$A$2:$G$38,4,FALSE),0)</f>
        <v>20</v>
      </c>
      <c r="F35" s="30">
        <f>VLOOKUP(B35,'All Marks'!$A$2:$G$39,3,FALSE)</f>
        <v>5</v>
      </c>
      <c r="G35" s="30">
        <f>VLOOKUP(B35,'All Marks'!$A$2:$G$39,7,FALSE)</f>
        <v>25</v>
      </c>
      <c r="H35" s="30">
        <f>VLOOKUP(B35,'All Marks'!$A$2:$G$39,5,FALSE)</f>
        <v>13.5</v>
      </c>
      <c r="I35" s="30"/>
      <c r="J35" s="30"/>
      <c r="K35" s="30">
        <f>VLOOKUP(B35,'All Marks'!$A$2:$G$39,6,FALSE)</f>
        <v>28.5</v>
      </c>
      <c r="L35" s="31">
        <f t="shared" si="1"/>
        <v>92</v>
      </c>
      <c r="M35" s="28">
        <f t="shared" si="2"/>
        <v>92</v>
      </c>
      <c r="N35" s="32" t="str">
        <f t="shared" si="3"/>
        <v>A</v>
      </c>
      <c r="O35" s="32" t="str">
        <f t="shared" si="4"/>
        <v>PLAIN</v>
      </c>
      <c r="Q35" s="33">
        <f>'All Marks'!H26</f>
        <v>92</v>
      </c>
      <c r="R35" s="33" t="b">
        <f t="shared" si="5"/>
        <v>1</v>
      </c>
    </row>
    <row r="36">
      <c r="A36" s="31">
        <v>26.0</v>
      </c>
      <c r="B36" s="29">
        <f>Worksheet!A27</f>
        <v>24201453</v>
      </c>
      <c r="C36" s="29" t="str">
        <f>Worksheet!B27</f>
        <v>Md. Zayed Khan</v>
      </c>
      <c r="D36" s="30"/>
      <c r="E36" s="30">
        <f>iferror(VLOOKUP(B36,'All Marks'!$A$2:$G$38,4,FALSE),0)</f>
        <v>19.33</v>
      </c>
      <c r="F36" s="30">
        <f>VLOOKUP(B36,'All Marks'!$A$2:$G$39,3,FALSE)</f>
        <v>5</v>
      </c>
      <c r="G36" s="30">
        <f>VLOOKUP(B36,'All Marks'!$A$2:$G$39,7,FALSE)</f>
        <v>4.34</v>
      </c>
      <c r="H36" s="30">
        <f>VLOOKUP(B36,'All Marks'!$A$2:$G$39,5,FALSE)</f>
        <v>10.6</v>
      </c>
      <c r="I36" s="30"/>
      <c r="J36" s="30"/>
      <c r="K36" s="30">
        <f>VLOOKUP(B36,'All Marks'!$A$2:$G$39,6,FALSE)</f>
        <v>17.7</v>
      </c>
      <c r="L36" s="31">
        <f t="shared" si="1"/>
        <v>56.97</v>
      </c>
      <c r="M36" s="28">
        <f t="shared" si="2"/>
        <v>57</v>
      </c>
      <c r="N36" s="32" t="str">
        <f t="shared" si="3"/>
        <v>C-</v>
      </c>
      <c r="O36" s="32" t="str">
        <f t="shared" si="4"/>
        <v>MINUS</v>
      </c>
      <c r="Q36" s="33">
        <f>'All Marks'!H27</f>
        <v>56.97</v>
      </c>
      <c r="R36" s="33" t="b">
        <f t="shared" si="5"/>
        <v>1</v>
      </c>
    </row>
    <row r="37">
      <c r="A37" s="31">
        <v>27.0</v>
      </c>
      <c r="B37" s="29">
        <f>Worksheet!A28</f>
        <v>24201455</v>
      </c>
      <c r="C37" s="29" t="str">
        <f>Worksheet!B28</f>
        <v>Hossain Tasnim Rumki</v>
      </c>
      <c r="D37" s="30"/>
      <c r="E37" s="30">
        <f>iferror(VLOOKUP(B37,'All Marks'!$A$2:$G$38,4,FALSE),0)</f>
        <v>19.33</v>
      </c>
      <c r="F37" s="30">
        <f>VLOOKUP(B37,'All Marks'!$A$2:$G$39,3,FALSE)</f>
        <v>5</v>
      </c>
      <c r="G37" s="30">
        <f>VLOOKUP(B37,'All Marks'!$A$2:$G$39,7,FALSE)</f>
        <v>5.67</v>
      </c>
      <c r="H37" s="30">
        <f>VLOOKUP(B37,'All Marks'!$A$2:$G$39,5,FALSE)</f>
        <v>14.3</v>
      </c>
      <c r="I37" s="30"/>
      <c r="J37" s="30"/>
      <c r="K37" s="30">
        <f>VLOOKUP(B37,'All Marks'!$A$2:$G$39,6,FALSE)</f>
        <v>26.3</v>
      </c>
      <c r="L37" s="31">
        <f t="shared" si="1"/>
        <v>70.6</v>
      </c>
      <c r="M37" s="28">
        <f t="shared" si="2"/>
        <v>71</v>
      </c>
      <c r="N37" s="32" t="str">
        <f t="shared" si="3"/>
        <v>B-</v>
      </c>
      <c r="O37" s="32" t="str">
        <f t="shared" si="4"/>
        <v>MINUS</v>
      </c>
      <c r="Q37" s="33">
        <f>'All Marks'!H28</f>
        <v>70.6</v>
      </c>
      <c r="R37" s="33" t="b">
        <f t="shared" si="5"/>
        <v>1</v>
      </c>
    </row>
    <row r="38">
      <c r="A38" s="31">
        <v>28.0</v>
      </c>
      <c r="B38" s="29">
        <f>Worksheet!A29</f>
        <v>24204199</v>
      </c>
      <c r="C38" s="29" t="str">
        <f>Worksheet!B29</f>
        <v>Abdul Mumit Bin Jafor</v>
      </c>
      <c r="D38" s="30"/>
      <c r="E38" s="30">
        <f>iferror(VLOOKUP(B38,'All Marks'!$A$2:$G$38,4,FALSE),0)</f>
        <v>16.33</v>
      </c>
      <c r="F38" s="30">
        <f>VLOOKUP(B38,'All Marks'!$A$2:$G$39,3,FALSE)</f>
        <v>3.75</v>
      </c>
      <c r="G38" s="30">
        <f>VLOOKUP(B38,'All Marks'!$A$2:$G$39,7,FALSE)</f>
        <v>7.87</v>
      </c>
      <c r="H38" s="30">
        <f>VLOOKUP(B38,'All Marks'!$A$2:$G$39,5,FALSE)</f>
        <v>10.6</v>
      </c>
      <c r="I38" s="30"/>
      <c r="J38" s="30"/>
      <c r="K38" s="30">
        <f>VLOOKUP(B38,'All Marks'!$A$2:$G$39,6,FALSE)</f>
        <v>16.2</v>
      </c>
      <c r="L38" s="31">
        <f t="shared" si="1"/>
        <v>54.75</v>
      </c>
      <c r="M38" s="28">
        <f t="shared" si="2"/>
        <v>55</v>
      </c>
      <c r="N38" s="32" t="str">
        <f t="shared" si="3"/>
        <v>D+</v>
      </c>
      <c r="O38" s="32" t="str">
        <f t="shared" si="4"/>
        <v>PLUS</v>
      </c>
      <c r="Q38" s="33">
        <f>'All Marks'!H29</f>
        <v>54.75</v>
      </c>
      <c r="R38" s="33" t="b">
        <f t="shared" si="5"/>
        <v>1</v>
      </c>
    </row>
    <row r="39">
      <c r="A39" s="31">
        <v>29.0</v>
      </c>
      <c r="B39" s="29">
        <f>Worksheet!A30</f>
        <v>24301002</v>
      </c>
      <c r="C39" s="29" t="str">
        <f>Worksheet!B30</f>
        <v>Wamiza Mehjabin</v>
      </c>
      <c r="D39" s="30"/>
      <c r="E39" s="30">
        <f>iferror(VLOOKUP(B39,'All Marks'!$A$2:$G$38,4,FALSE),0)</f>
        <v>12</v>
      </c>
      <c r="F39" s="30">
        <f>VLOOKUP(B39,'All Marks'!$A$2:$G$39,3,FALSE)</f>
        <v>2.5</v>
      </c>
      <c r="G39" s="30">
        <f>VLOOKUP(B39,'All Marks'!$A$2:$G$39,7,FALSE)</f>
        <v>0</v>
      </c>
      <c r="H39" s="30">
        <f>VLOOKUP(B39,'All Marks'!$A$2:$G$39,5,FALSE)</f>
        <v>8.6</v>
      </c>
      <c r="I39" s="30"/>
      <c r="J39" s="30"/>
      <c r="K39" s="30">
        <f>VLOOKUP(B39,'All Marks'!$A$2:$G$39,6,FALSE)</f>
        <v>0</v>
      </c>
      <c r="L39" s="31">
        <f t="shared" si="1"/>
        <v>23.1</v>
      </c>
      <c r="M39" s="28">
        <f t="shared" si="2"/>
        <v>23</v>
      </c>
      <c r="N39" s="32" t="str">
        <f t="shared" si="3"/>
        <v>F</v>
      </c>
      <c r="O39" s="32" t="str">
        <f t="shared" si="4"/>
        <v>PLAIN</v>
      </c>
      <c r="Q39" s="33">
        <f>'All Marks'!H30</f>
        <v>23.1</v>
      </c>
      <c r="R39" s="33" t="b">
        <f t="shared" si="5"/>
        <v>1</v>
      </c>
    </row>
    <row r="40">
      <c r="A40" s="31">
        <v>30.0</v>
      </c>
      <c r="B40" s="29">
        <f>Worksheet!A31</f>
        <v>24301003</v>
      </c>
      <c r="C40" s="29" t="str">
        <f>Worksheet!B31</f>
        <v>Shahir Sharaf Chowdhury</v>
      </c>
      <c r="D40" s="30"/>
      <c r="E40" s="30">
        <f>iferror(VLOOKUP(B40,'All Marks'!$A$2:$G$38,4,FALSE),0)</f>
        <v>11.66</v>
      </c>
      <c r="F40" s="30">
        <f>VLOOKUP(B40,'All Marks'!$A$2:$G$39,3,FALSE)</f>
        <v>2.5</v>
      </c>
      <c r="G40" s="30">
        <f>VLOOKUP(B40,'All Marks'!$A$2:$G$39,7,FALSE)</f>
        <v>2.46</v>
      </c>
      <c r="H40" s="30">
        <f>VLOOKUP(B40,'All Marks'!$A$2:$G$39,5,FALSE)</f>
        <v>0</v>
      </c>
      <c r="I40" s="30"/>
      <c r="J40" s="30"/>
      <c r="K40" s="30">
        <f>VLOOKUP(B40,'All Marks'!$A$2:$G$39,6,FALSE)</f>
        <v>3</v>
      </c>
      <c r="L40" s="31">
        <f t="shared" si="1"/>
        <v>19.62</v>
      </c>
      <c r="M40" s="28">
        <f t="shared" si="2"/>
        <v>20</v>
      </c>
      <c r="N40" s="32" t="str">
        <f t="shared" si="3"/>
        <v>F</v>
      </c>
      <c r="O40" s="32" t="str">
        <f t="shared" si="4"/>
        <v>PLAIN</v>
      </c>
      <c r="Q40" s="33">
        <f>'All Marks'!H31</f>
        <v>19.62</v>
      </c>
      <c r="R40" s="33" t="b">
        <f t="shared" si="5"/>
        <v>1</v>
      </c>
    </row>
    <row r="41">
      <c r="A41" s="31">
        <v>31.0</v>
      </c>
      <c r="B41" s="29">
        <f>Worksheet!A32</f>
        <v>24301116</v>
      </c>
      <c r="C41" s="29" t="str">
        <f>Worksheet!B32</f>
        <v>Mahajabin Islam</v>
      </c>
      <c r="D41" s="30"/>
      <c r="E41" s="30">
        <f>iferror(VLOOKUP(B41,'All Marks'!$A$2:$G$38,4,FALSE),0)</f>
        <v>20</v>
      </c>
      <c r="F41" s="30">
        <f>VLOOKUP(B41,'All Marks'!$A$2:$G$39,3,FALSE)</f>
        <v>5</v>
      </c>
      <c r="G41" s="30">
        <f>VLOOKUP(B41,'All Marks'!$A$2:$G$39,7,FALSE)</f>
        <v>14.82</v>
      </c>
      <c r="H41" s="30">
        <f>VLOOKUP(B41,'All Marks'!$A$2:$G$39,5,FALSE)</f>
        <v>11.8</v>
      </c>
      <c r="I41" s="30"/>
      <c r="J41" s="30"/>
      <c r="K41" s="30">
        <f>VLOOKUP(B41,'All Marks'!$A$2:$G$39,6,FALSE)</f>
        <v>23.3</v>
      </c>
      <c r="L41" s="31">
        <f t="shared" si="1"/>
        <v>74.92</v>
      </c>
      <c r="M41" s="28">
        <f t="shared" si="2"/>
        <v>75</v>
      </c>
      <c r="N41" s="32" t="str">
        <f t="shared" si="3"/>
        <v>B</v>
      </c>
      <c r="O41" s="32" t="str">
        <f t="shared" si="4"/>
        <v>PLAIN</v>
      </c>
      <c r="Q41" s="33">
        <f>'All Marks'!H32</f>
        <v>74.92</v>
      </c>
      <c r="R41" s="33" t="b">
        <f t="shared" si="5"/>
        <v>1</v>
      </c>
    </row>
    <row r="42">
      <c r="A42" s="31">
        <v>32.0</v>
      </c>
      <c r="B42" s="29">
        <f>Worksheet!A33</f>
        <v>24301173</v>
      </c>
      <c r="C42" s="29" t="str">
        <f>Worksheet!B33</f>
        <v>Shahida Rahman</v>
      </c>
      <c r="D42" s="30"/>
      <c r="E42" s="30">
        <f>iferror(VLOOKUP(B42,'All Marks'!$A$2:$G$38,4,FALSE),0)</f>
        <v>20</v>
      </c>
      <c r="F42" s="30">
        <f>VLOOKUP(B42,'All Marks'!$A$2:$G$39,3,FALSE)</f>
        <v>3.75</v>
      </c>
      <c r="G42" s="30">
        <f>VLOOKUP(B42,'All Marks'!$A$2:$G$39,7,FALSE)</f>
        <v>3.21</v>
      </c>
      <c r="H42" s="30">
        <f>VLOOKUP(B42,'All Marks'!$A$2:$G$39,5,FALSE)</f>
        <v>11.2</v>
      </c>
      <c r="I42" s="30"/>
      <c r="J42" s="30"/>
      <c r="K42" s="30">
        <f>VLOOKUP(B42,'All Marks'!$A$2:$G$39,6,FALSE)</f>
        <v>23.3</v>
      </c>
      <c r="L42" s="31">
        <f t="shared" si="1"/>
        <v>61.46</v>
      </c>
      <c r="M42" s="28">
        <f t="shared" si="2"/>
        <v>61</v>
      </c>
      <c r="N42" s="32" t="str">
        <f t="shared" si="3"/>
        <v>C</v>
      </c>
      <c r="O42" s="32" t="str">
        <f t="shared" si="4"/>
        <v>PLAIN</v>
      </c>
      <c r="Q42" s="33">
        <f>'All Marks'!H33</f>
        <v>61.46</v>
      </c>
      <c r="R42" s="33" t="b">
        <f t="shared" si="5"/>
        <v>1</v>
      </c>
    </row>
    <row r="43">
      <c r="A43" s="31">
        <v>33.0</v>
      </c>
      <c r="B43" s="29">
        <f>Worksheet!A34</f>
        <v>24301197</v>
      </c>
      <c r="C43" s="29" t="str">
        <f>Worksheet!B34</f>
        <v>Samin Yasar Nafi</v>
      </c>
      <c r="D43" s="30"/>
      <c r="E43" s="30">
        <f>iferror(VLOOKUP(B43,'All Marks'!$A$2:$G$38,4,FALSE),0)</f>
        <v>4.33</v>
      </c>
      <c r="F43" s="30">
        <f>VLOOKUP(B43,'All Marks'!$A$2:$G$39,3,FALSE)</f>
        <v>1.25</v>
      </c>
      <c r="G43" s="30">
        <f>VLOOKUP(B43,'All Marks'!$A$2:$G$39,7,FALSE)</f>
        <v>2.18</v>
      </c>
      <c r="H43" s="30">
        <f>VLOOKUP(B43,'All Marks'!$A$2:$G$39,5,FALSE)</f>
        <v>8</v>
      </c>
      <c r="I43" s="30"/>
      <c r="J43" s="30"/>
      <c r="K43" s="30">
        <f>VLOOKUP(B43,'All Marks'!$A$2:$G$39,6,FALSE)</f>
        <v>0</v>
      </c>
      <c r="L43" s="31">
        <f t="shared" si="1"/>
        <v>15.76</v>
      </c>
      <c r="M43" s="28">
        <f t="shared" si="2"/>
        <v>16</v>
      </c>
      <c r="N43" s="32" t="str">
        <f t="shared" si="3"/>
        <v>F</v>
      </c>
      <c r="O43" s="32" t="str">
        <f t="shared" si="4"/>
        <v>PLAIN</v>
      </c>
      <c r="Q43" s="33">
        <f>'All Marks'!H34</f>
        <v>15.76</v>
      </c>
      <c r="R43" s="33" t="b">
        <f t="shared" si="5"/>
        <v>1</v>
      </c>
    </row>
    <row r="44">
      <c r="A44" s="31">
        <v>34.0</v>
      </c>
      <c r="B44" s="29">
        <f>Worksheet!A35</f>
        <v>24301282</v>
      </c>
      <c r="C44" s="29" t="str">
        <f>Worksheet!B35</f>
        <v>Samin Nuzaima</v>
      </c>
      <c r="D44" s="30"/>
      <c r="E44" s="30">
        <f>iferror(VLOOKUP(B44,'All Marks'!$A$2:$G$38,4,FALSE),0)</f>
        <v>16.66</v>
      </c>
      <c r="F44" s="30">
        <f>VLOOKUP(B44,'All Marks'!$A$2:$G$39,3,FALSE)</f>
        <v>5</v>
      </c>
      <c r="G44" s="30">
        <f>VLOOKUP(B44,'All Marks'!$A$2:$G$39,7,FALSE)</f>
        <v>5</v>
      </c>
      <c r="H44" s="30">
        <f>VLOOKUP(B44,'All Marks'!$A$2:$G$39,5,FALSE)</f>
        <v>10</v>
      </c>
      <c r="I44" s="30"/>
      <c r="J44" s="30"/>
      <c r="K44" s="30">
        <f>VLOOKUP(B44,'All Marks'!$A$2:$G$39,6,FALSE)</f>
        <v>20</v>
      </c>
      <c r="L44" s="31">
        <f t="shared" si="1"/>
        <v>56.66</v>
      </c>
      <c r="M44" s="28">
        <f t="shared" si="2"/>
        <v>57</v>
      </c>
      <c r="N44" s="32" t="str">
        <f t="shared" si="3"/>
        <v>C-</v>
      </c>
      <c r="O44" s="32" t="str">
        <f t="shared" si="4"/>
        <v>MINUS</v>
      </c>
      <c r="Q44" s="33">
        <f>'All Marks'!H35</f>
        <v>56.66</v>
      </c>
      <c r="R44" s="33" t="b">
        <f t="shared" si="5"/>
        <v>1</v>
      </c>
    </row>
    <row r="45">
      <c r="A45" s="31">
        <v>35.0</v>
      </c>
      <c r="B45" s="29">
        <f>Worksheet!A36</f>
        <v>24321232</v>
      </c>
      <c r="C45" s="29" t="str">
        <f>Worksheet!B36</f>
        <v>Kazi Yasin Hridoy</v>
      </c>
      <c r="D45" s="30"/>
      <c r="E45" s="30">
        <f>iferror(VLOOKUP(B45,'All Marks'!$A$2:$G$38,4,FALSE),0)</f>
        <v>20</v>
      </c>
      <c r="F45" s="30">
        <f>VLOOKUP(B45,'All Marks'!$A$2:$G$39,3,FALSE)</f>
        <v>5</v>
      </c>
      <c r="G45" s="30">
        <f>VLOOKUP(B45,'All Marks'!$A$2:$G$39,7,FALSE)</f>
        <v>11.11</v>
      </c>
      <c r="H45" s="30">
        <f>VLOOKUP(B45,'All Marks'!$A$2:$G$39,5,FALSE)</f>
        <v>6</v>
      </c>
      <c r="I45" s="30"/>
      <c r="J45" s="30"/>
      <c r="K45" s="30">
        <f>VLOOKUP(B45,'All Marks'!$A$2:$G$39,6,FALSE)</f>
        <v>22.5</v>
      </c>
      <c r="L45" s="31">
        <f t="shared" si="1"/>
        <v>64.61</v>
      </c>
      <c r="M45" s="28">
        <f t="shared" si="2"/>
        <v>65</v>
      </c>
      <c r="N45" s="32" t="str">
        <f t="shared" si="3"/>
        <v>C+</v>
      </c>
      <c r="O45" s="32" t="str">
        <f t="shared" si="4"/>
        <v>PLUS</v>
      </c>
      <c r="Q45" s="33">
        <f>'All Marks'!H36</f>
        <v>64.61</v>
      </c>
      <c r="R45" s="33" t="b">
        <f t="shared" si="5"/>
        <v>1</v>
      </c>
    </row>
    <row r="46">
      <c r="A46" s="31">
        <v>36.0</v>
      </c>
      <c r="B46" s="29">
        <f>Worksheet!A37</f>
        <v>24321234</v>
      </c>
      <c r="C46" s="29" t="str">
        <f>Worksheet!B37</f>
        <v>Al Jayed Rup</v>
      </c>
      <c r="D46" s="30"/>
      <c r="E46" s="30">
        <f>iferror(VLOOKUP(B46,'All Marks'!$A$2:$G$38,4,FALSE),0)</f>
        <v>17.33</v>
      </c>
      <c r="F46" s="30">
        <f>VLOOKUP(B46,'All Marks'!$A$2:$G$39,3,FALSE)</f>
        <v>5</v>
      </c>
      <c r="G46" s="30">
        <f>VLOOKUP(B46,'All Marks'!$A$2:$G$39,7,FALSE)</f>
        <v>3.02</v>
      </c>
      <c r="H46" s="30">
        <f>VLOOKUP(B46,'All Marks'!$A$2:$G$39,5,FALSE)</f>
        <v>12.9</v>
      </c>
      <c r="I46" s="30"/>
      <c r="J46" s="30"/>
      <c r="K46" s="30">
        <f>VLOOKUP(B46,'All Marks'!$A$2:$G$39,6,FALSE)</f>
        <v>23.3</v>
      </c>
      <c r="L46" s="31">
        <f t="shared" si="1"/>
        <v>61.55</v>
      </c>
      <c r="M46" s="28">
        <f t="shared" si="2"/>
        <v>62</v>
      </c>
      <c r="N46" s="32" t="str">
        <f t="shared" si="3"/>
        <v>C</v>
      </c>
      <c r="O46" s="32" t="str">
        <f t="shared" si="4"/>
        <v>PLAIN</v>
      </c>
      <c r="Q46" s="33">
        <f>'All Marks'!H37</f>
        <v>61.55</v>
      </c>
      <c r="R46" s="33" t="b">
        <f t="shared" si="5"/>
        <v>1</v>
      </c>
    </row>
    <row r="47">
      <c r="A47" s="31">
        <v>37.0</v>
      </c>
      <c r="B47" s="29">
        <f>Worksheet!A38</f>
        <v>24341137</v>
      </c>
      <c r="C47" s="29" t="str">
        <f>Worksheet!B38</f>
        <v>G.M.A Alimul Hayat Shaikot.</v>
      </c>
      <c r="D47" s="30"/>
      <c r="E47" s="30">
        <f>iferror(VLOOKUP(B47,'All Marks'!$A$2:$G$38,4,FALSE),0)</f>
        <v>0</v>
      </c>
      <c r="F47" s="30">
        <f>VLOOKUP(B47,'All Marks'!$A$2:$G$39,3,FALSE)</f>
        <v>0</v>
      </c>
      <c r="G47" s="30">
        <f>VLOOKUP(B47,'All Marks'!$A$2:$G$39,7,FALSE)</f>
        <v>0</v>
      </c>
      <c r="H47" s="30">
        <f>VLOOKUP(B47,'All Marks'!$A$2:$G$39,5,FALSE)</f>
        <v>0</v>
      </c>
      <c r="I47" s="30"/>
      <c r="J47" s="30"/>
      <c r="K47" s="30">
        <f>VLOOKUP(B47,'All Marks'!$A$2:$G$39,6,FALSE)</f>
        <v>0</v>
      </c>
      <c r="L47" s="31">
        <f t="shared" si="1"/>
        <v>0</v>
      </c>
      <c r="M47" s="28">
        <f t="shared" si="2"/>
        <v>0</v>
      </c>
      <c r="N47" s="32" t="str">
        <f t="shared" si="3"/>
        <v>F</v>
      </c>
      <c r="O47" s="32" t="str">
        <f t="shared" si="4"/>
        <v>PLAIN</v>
      </c>
      <c r="Q47" s="33">
        <f>'All Marks'!H38</f>
        <v>0</v>
      </c>
      <c r="R47" s="33" t="b">
        <f t="shared" si="5"/>
        <v>1</v>
      </c>
    </row>
    <row r="48">
      <c r="R48" s="33">
        <f>COUNTIF(R11:R47,"=TRUE")</f>
        <v>37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hidden="1" min="2" max="2" width="39.0"/>
    <col customWidth="1" min="4" max="4" width="13.0"/>
    <col customWidth="1" min="7" max="7" width="9.0"/>
  </cols>
  <sheetData>
    <row r="1" ht="85.5" customHeight="1">
      <c r="A1" s="37" t="s">
        <v>107</v>
      </c>
      <c r="B1" s="38" t="s">
        <v>1</v>
      </c>
      <c r="C1" s="39" t="str">
        <f>Assignment!G1</f>
        <v>Assignment    (out of 5)</v>
      </c>
      <c r="D1" s="39" t="str">
        <f>Quiz!M1</f>
        <v>Overall Quiz score   (Out of 20)           best (n-1) without bonus</v>
      </c>
      <c r="E1" s="39" t="str">
        <f>'Mid+Final'!D2</f>
        <v>Midterm (20)</v>
      </c>
      <c r="F1" s="39" t="str">
        <f>'Mid+Final'!M2</f>
        <v>Final(30)</v>
      </c>
      <c r="G1" s="37" t="s">
        <v>108</v>
      </c>
      <c r="H1" s="40" t="s">
        <v>109</v>
      </c>
    </row>
    <row r="2">
      <c r="A2" s="41">
        <f>Worksheet!A2</f>
        <v>20301033</v>
      </c>
      <c r="B2" s="42" t="str">
        <f>Worksheet!B2</f>
        <v>Amlan Dutta</v>
      </c>
      <c r="C2" s="43">
        <f>Assignment!G2</f>
        <v>3.75</v>
      </c>
      <c r="D2" s="43">
        <f>Quiz!M2</f>
        <v>18</v>
      </c>
      <c r="E2" s="43">
        <f>'Mid+Final'!D3</f>
        <v>7.5</v>
      </c>
      <c r="F2" s="43">
        <f>'Mid+Final'!M3</f>
        <v>18.8</v>
      </c>
      <c r="G2" s="43">
        <f>IFERROR(ROUNDUP(VLOOKUP(A2,Lab!$A$2:$B$39,2,False),2),0)</f>
        <v>3.5</v>
      </c>
      <c r="H2" s="44">
        <f t="shared" ref="H2:H38" si="1">RoundUp(sum(C2:G2),2)</f>
        <v>51.55</v>
      </c>
    </row>
    <row r="3">
      <c r="A3" s="41">
        <f>Worksheet!A3</f>
        <v>22101425</v>
      </c>
      <c r="B3" s="42" t="str">
        <f>Worksheet!B3</f>
        <v>Khandokar Yusuf Khalid</v>
      </c>
      <c r="C3" s="43">
        <f>Assignment!G3</f>
        <v>3.75</v>
      </c>
      <c r="D3" s="43">
        <f>Quiz!M3</f>
        <v>16.66</v>
      </c>
      <c r="E3" s="43">
        <f>'Mid+Final'!D4</f>
        <v>3.5</v>
      </c>
      <c r="F3" s="43">
        <f>'Mid+Final'!M4</f>
        <v>18</v>
      </c>
      <c r="G3" s="43">
        <f>IFERROR(ROUNDUP(VLOOKUP(A3,Lab!$A$2:$B$39,2,False),2),0)</f>
        <v>3.59</v>
      </c>
      <c r="H3" s="44">
        <f t="shared" si="1"/>
        <v>45.5</v>
      </c>
    </row>
    <row r="4">
      <c r="A4" s="41">
        <f>Worksheet!A4</f>
        <v>22101748</v>
      </c>
      <c r="B4" s="42" t="str">
        <f>Worksheet!B4</f>
        <v>Mst. Zubaida Haque Jetu</v>
      </c>
      <c r="C4" s="43">
        <f>Assignment!G4</f>
        <v>5</v>
      </c>
      <c r="D4" s="43">
        <f>Quiz!M4</f>
        <v>10</v>
      </c>
      <c r="E4" s="43">
        <f>'Mid+Final'!D5</f>
        <v>8.3</v>
      </c>
      <c r="F4" s="43">
        <f>'Mid+Final'!M5</f>
        <v>16.2</v>
      </c>
      <c r="G4" s="43">
        <f>IFERROR(ROUNDUP(VLOOKUP(A4,Lab!$A$2:$B$39,2,False),2),0)</f>
        <v>2.08</v>
      </c>
      <c r="H4" s="44">
        <f t="shared" si="1"/>
        <v>41.58</v>
      </c>
    </row>
    <row r="5">
      <c r="A5" s="41">
        <f>Worksheet!A5</f>
        <v>22299296</v>
      </c>
      <c r="B5" s="42" t="str">
        <f>Worksheet!B5</f>
        <v>Raihan Karim</v>
      </c>
      <c r="C5" s="43">
        <f>Assignment!G5</f>
        <v>5</v>
      </c>
      <c r="D5" s="43">
        <f>Quiz!M5</f>
        <v>19.33</v>
      </c>
      <c r="E5" s="43">
        <f>'Mid+Final'!D6</f>
        <v>7.2</v>
      </c>
      <c r="F5" s="43">
        <f>'Mid+Final'!M6</f>
        <v>17.3</v>
      </c>
      <c r="G5" s="43">
        <f>IFERROR(ROUNDUP(VLOOKUP(A5,Lab!$A$2:$B$39,2,False),2),0)</f>
        <v>1.23</v>
      </c>
      <c r="H5" s="44">
        <f t="shared" si="1"/>
        <v>50.06</v>
      </c>
    </row>
    <row r="6">
      <c r="A6" s="41">
        <f>Worksheet!A6</f>
        <v>23101075</v>
      </c>
      <c r="B6" s="42" t="str">
        <f>Worksheet!B6</f>
        <v>Abida Nowsheen</v>
      </c>
      <c r="C6" s="43">
        <f>Assignment!G6</f>
        <v>0</v>
      </c>
      <c r="D6" s="43">
        <f>Quiz!M6</f>
        <v>5.33</v>
      </c>
      <c r="E6" s="43">
        <f>'Mid+Final'!D7</f>
        <v>2.9</v>
      </c>
      <c r="F6" s="43">
        <f>'Mid+Final'!M7</f>
        <v>0</v>
      </c>
      <c r="G6" s="43">
        <f>IFERROR(ROUNDUP(VLOOKUP(A6,Lab!$A$2:$B$39,2,False),2),0)</f>
        <v>0</v>
      </c>
      <c r="H6" s="44">
        <f t="shared" si="1"/>
        <v>8.23</v>
      </c>
    </row>
    <row r="7">
      <c r="A7" s="41">
        <f>Worksheet!A7</f>
        <v>23101101</v>
      </c>
      <c r="B7" s="42" t="str">
        <f>Worksheet!B7</f>
        <v>Jubaida Jahan Prapti</v>
      </c>
      <c r="C7" s="43">
        <f>Assignment!G7</f>
        <v>1.25</v>
      </c>
      <c r="D7" s="43">
        <f>Quiz!M7</f>
        <v>0</v>
      </c>
      <c r="E7" s="43">
        <f>'Mid+Final'!D8</f>
        <v>4</v>
      </c>
      <c r="F7" s="43">
        <f>'Mid+Final'!M8</f>
        <v>0</v>
      </c>
      <c r="G7" s="43">
        <f>IFERROR(ROUNDUP(VLOOKUP(A7,Lab!$A$2:$B$39,2,False),2),0)</f>
        <v>1.99</v>
      </c>
      <c r="H7" s="44">
        <f t="shared" si="1"/>
        <v>7.24</v>
      </c>
    </row>
    <row r="8">
      <c r="A8" s="41">
        <f>Worksheet!A8</f>
        <v>23101271</v>
      </c>
      <c r="B8" s="42" t="str">
        <f>Worksheet!B8</f>
        <v>Sazid Chowdhury</v>
      </c>
      <c r="C8" s="43">
        <f>Assignment!G8</f>
        <v>5</v>
      </c>
      <c r="D8" s="43">
        <f>Quiz!M8</f>
        <v>14.66</v>
      </c>
      <c r="E8" s="43">
        <f>'Mid+Final'!D9</f>
        <v>2.3</v>
      </c>
      <c r="F8" s="43">
        <f>'Mid+Final'!M9</f>
        <v>18.4</v>
      </c>
      <c r="G8" s="43">
        <f>IFERROR(ROUNDUP(VLOOKUP(A8,Lab!$A$2:$B$39,2,False),2),0)</f>
        <v>11.7</v>
      </c>
      <c r="H8" s="44">
        <f t="shared" si="1"/>
        <v>52.06</v>
      </c>
    </row>
    <row r="9">
      <c r="A9" s="41">
        <f>Worksheet!A9</f>
        <v>23101378</v>
      </c>
      <c r="B9" s="42" t="str">
        <f>Worksheet!B9</f>
        <v>Sharif Al Rezoan</v>
      </c>
      <c r="C9" s="43">
        <f>Assignment!G9</f>
        <v>2.5</v>
      </c>
      <c r="D9" s="43">
        <f>Quiz!M9</f>
        <v>17.33</v>
      </c>
      <c r="E9" s="43">
        <f>'Mid+Final'!D10</f>
        <v>8.3</v>
      </c>
      <c r="F9" s="43">
        <f>'Mid+Final'!M10</f>
        <v>20.3</v>
      </c>
      <c r="G9" s="43">
        <f>IFERROR(ROUNDUP(VLOOKUP(A9,Lab!$A$2:$B$39,2,False),2),0)</f>
        <v>11.44</v>
      </c>
      <c r="H9" s="44">
        <f t="shared" si="1"/>
        <v>59.87</v>
      </c>
    </row>
    <row r="10">
      <c r="A10" s="41">
        <f>Worksheet!A10</f>
        <v>23141047</v>
      </c>
      <c r="B10" s="42" t="str">
        <f>Worksheet!B10</f>
        <v>Mohammad Rashik Ruhullah Rafi</v>
      </c>
      <c r="C10" s="43">
        <f>Assignment!G10</f>
        <v>0</v>
      </c>
      <c r="D10" s="43">
        <f>Quiz!M10</f>
        <v>11</v>
      </c>
      <c r="E10" s="43">
        <f>'Mid+Final'!D11</f>
        <v>5.8</v>
      </c>
      <c r="F10" s="43">
        <f>'Mid+Final'!M11</f>
        <v>0</v>
      </c>
      <c r="G10" s="43">
        <f>IFERROR(ROUNDUP(VLOOKUP(A10,Lab!$A$2:$B$39,2,False),2),0)</f>
        <v>1.23</v>
      </c>
      <c r="H10" s="44">
        <f t="shared" si="1"/>
        <v>18.03</v>
      </c>
    </row>
    <row r="11">
      <c r="A11" s="41">
        <f>Worksheet!A11</f>
        <v>23201093</v>
      </c>
      <c r="B11" s="42" t="str">
        <f>Worksheet!B11</f>
        <v>S.A.Rahman</v>
      </c>
      <c r="C11" s="43">
        <f>Assignment!G11</f>
        <v>2.5</v>
      </c>
      <c r="D11" s="43">
        <f>Quiz!M11</f>
        <v>14.66</v>
      </c>
      <c r="E11" s="43">
        <f>'Mid+Final'!D12</f>
        <v>2.3</v>
      </c>
      <c r="F11" s="43">
        <f>'Mid+Final'!M12</f>
        <v>0</v>
      </c>
      <c r="G11" s="43">
        <f>IFERROR(ROUNDUP(VLOOKUP(A11,Lab!$A$2:$B$39,2,False),2),0)</f>
        <v>5</v>
      </c>
      <c r="H11" s="44">
        <f t="shared" si="1"/>
        <v>24.46</v>
      </c>
    </row>
    <row r="12">
      <c r="A12" s="41">
        <f>Worksheet!A12</f>
        <v>23201659</v>
      </c>
      <c r="B12" s="42" t="str">
        <f>Worksheet!B12</f>
        <v>Maisha Sanjida Akhi</v>
      </c>
      <c r="C12" s="43">
        <f>Assignment!G12</f>
        <v>0</v>
      </c>
      <c r="D12" s="43">
        <f>Quiz!M12</f>
        <v>5</v>
      </c>
      <c r="E12" s="43">
        <f>'Mid+Final'!D13</f>
        <v>0</v>
      </c>
      <c r="F12" s="43">
        <f>'Mid+Final'!M13</f>
        <v>0</v>
      </c>
      <c r="G12" s="43">
        <f>IFERROR(ROUNDUP(VLOOKUP(A12,Lab!$A$2:$B$39,2,False),2),0)</f>
        <v>2.51</v>
      </c>
      <c r="H12" s="44">
        <f t="shared" si="1"/>
        <v>7.51</v>
      </c>
    </row>
    <row r="13">
      <c r="A13" s="41">
        <f>Worksheet!A13</f>
        <v>23301410</v>
      </c>
      <c r="B13" s="42" t="str">
        <f>Worksheet!B13</f>
        <v>Rafid Shahriar Auvro</v>
      </c>
      <c r="C13" s="43">
        <f>Assignment!G13</f>
        <v>0</v>
      </c>
      <c r="D13" s="43">
        <f>Quiz!M13</f>
        <v>3.33</v>
      </c>
      <c r="E13" s="43">
        <f>'Mid+Final'!D14</f>
        <v>9.5</v>
      </c>
      <c r="F13" s="43">
        <f>'Mid+Final'!M14</f>
        <v>0</v>
      </c>
      <c r="G13" s="43">
        <f>IFERROR(ROUNDUP(VLOOKUP(A13,Lab!$A$2:$B$39,2,False),2),0)</f>
        <v>0</v>
      </c>
      <c r="H13" s="44">
        <f t="shared" si="1"/>
        <v>12.83</v>
      </c>
    </row>
    <row r="14">
      <c r="A14" s="41">
        <f>Worksheet!A14</f>
        <v>23301602</v>
      </c>
      <c r="B14" s="42" t="str">
        <f>Worksheet!B14</f>
        <v>Farhan Anjum</v>
      </c>
      <c r="C14" s="43">
        <f>Assignment!G14</f>
        <v>1.25</v>
      </c>
      <c r="D14" s="43">
        <f>Quiz!M14</f>
        <v>0</v>
      </c>
      <c r="E14" s="43">
        <f>'Mid+Final'!D15</f>
        <v>6.3</v>
      </c>
      <c r="F14" s="43">
        <f>'Mid+Final'!M15</f>
        <v>0</v>
      </c>
      <c r="G14" s="43">
        <f>IFERROR(ROUNDUP(VLOOKUP(A14,Lab!$A$2:$B$39,2,False),2),0)</f>
        <v>3.89</v>
      </c>
      <c r="H14" s="44">
        <f t="shared" si="1"/>
        <v>11.44</v>
      </c>
    </row>
    <row r="15">
      <c r="A15" s="41">
        <f>Worksheet!A15</f>
        <v>24101390</v>
      </c>
      <c r="B15" s="42" t="str">
        <f>Worksheet!B15</f>
        <v>P. M. Mushfiqur Shium</v>
      </c>
      <c r="C15" s="43">
        <f>Assignment!G15</f>
        <v>5</v>
      </c>
      <c r="D15" s="43">
        <f>Quiz!M15</f>
        <v>19.66</v>
      </c>
      <c r="E15" s="43">
        <f>'Mid+Final'!D16</f>
        <v>14</v>
      </c>
      <c r="F15" s="43">
        <f>'Mid+Final'!M16</f>
        <v>22.2</v>
      </c>
      <c r="G15" s="43">
        <f>IFERROR(ROUNDUP(VLOOKUP(A15,Lab!$A$2:$B$39,2,False),2),0)</f>
        <v>3.87</v>
      </c>
      <c r="H15" s="44">
        <f t="shared" si="1"/>
        <v>64.73</v>
      </c>
    </row>
    <row r="16">
      <c r="A16" s="41">
        <f>Worksheet!A16</f>
        <v>24101392</v>
      </c>
      <c r="B16" s="42" t="str">
        <f>Worksheet!B16</f>
        <v>Fardin Islam</v>
      </c>
      <c r="C16" s="43">
        <f>Assignment!G16</f>
        <v>5</v>
      </c>
      <c r="D16" s="43">
        <f>Quiz!M16</f>
        <v>16.33</v>
      </c>
      <c r="E16" s="43">
        <f>'Mid+Final'!D17</f>
        <v>9.8</v>
      </c>
      <c r="F16" s="43">
        <f>'Mid+Final'!M17</f>
        <v>24</v>
      </c>
      <c r="G16" s="43">
        <f>IFERROR(ROUNDUP(VLOOKUP(A16,Lab!$A$2:$B$39,2,False),2),0)</f>
        <v>15</v>
      </c>
      <c r="H16" s="44">
        <f t="shared" si="1"/>
        <v>70.13</v>
      </c>
    </row>
    <row r="17">
      <c r="A17" s="41">
        <f>Worksheet!A17</f>
        <v>24101431</v>
      </c>
      <c r="B17" s="42" t="str">
        <f>Worksheet!B17</f>
        <v>Raheeb Al Zabir</v>
      </c>
      <c r="C17" s="43">
        <f>Assignment!G17</f>
        <v>5</v>
      </c>
      <c r="D17" s="43">
        <f>Quiz!M17</f>
        <v>16.33</v>
      </c>
      <c r="E17" s="43">
        <f>'Mid+Final'!D18</f>
        <v>7.2</v>
      </c>
      <c r="F17" s="43">
        <f>'Mid+Final'!M18</f>
        <v>20.3</v>
      </c>
      <c r="G17" s="43">
        <f>IFERROR(ROUNDUP(VLOOKUP(A17,Lab!$A$2:$B$39,2,False),2),0)</f>
        <v>14.44</v>
      </c>
      <c r="H17" s="44">
        <f t="shared" si="1"/>
        <v>63.27</v>
      </c>
    </row>
    <row r="18">
      <c r="A18" s="41">
        <f>Worksheet!A18</f>
        <v>24101442</v>
      </c>
      <c r="B18" s="42" t="str">
        <f>Worksheet!B18</f>
        <v>Abdullah Al Noman</v>
      </c>
      <c r="C18" s="43">
        <f>Assignment!G18</f>
        <v>5</v>
      </c>
      <c r="D18" s="43">
        <f>Quiz!M18</f>
        <v>16.66</v>
      </c>
      <c r="E18" s="43">
        <f>'Mid+Final'!D19</f>
        <v>10.6</v>
      </c>
      <c r="F18" s="43">
        <f>'Mid+Final'!M19</f>
        <v>21.8</v>
      </c>
      <c r="G18" s="43">
        <f>IFERROR(ROUNDUP(VLOOKUP(A18,Lab!$A$2:$B$39,2,False),2),0)</f>
        <v>8.34</v>
      </c>
      <c r="H18" s="44">
        <f t="shared" si="1"/>
        <v>62.4</v>
      </c>
    </row>
    <row r="19">
      <c r="A19" s="41">
        <f>Worksheet!A19</f>
        <v>24121353</v>
      </c>
      <c r="B19" s="42" t="str">
        <f>Worksheet!B19</f>
        <v>Ayatullah Osama Khan</v>
      </c>
      <c r="C19" s="43">
        <f>Assignment!G19</f>
        <v>5</v>
      </c>
      <c r="D19" s="43">
        <f>Quiz!M19</f>
        <v>15.33</v>
      </c>
      <c r="E19" s="43">
        <f>'Mid+Final'!D20</f>
        <v>7.2</v>
      </c>
      <c r="F19" s="43">
        <f>'Mid+Final'!M20</f>
        <v>20.3</v>
      </c>
      <c r="G19" s="43">
        <f>IFERROR(ROUNDUP(VLOOKUP(A19,Lab!$A$2:$B$39,2,False),2),0)</f>
        <v>7.02</v>
      </c>
      <c r="H19" s="44">
        <f t="shared" si="1"/>
        <v>54.85</v>
      </c>
    </row>
    <row r="20">
      <c r="A20" s="41">
        <f>Worksheet!A20</f>
        <v>24141008</v>
      </c>
      <c r="B20" s="42" t="str">
        <f>Worksheet!B20</f>
        <v>Ashvin Al Afroz</v>
      </c>
      <c r="C20" s="43">
        <f>Assignment!G20</f>
        <v>2.5</v>
      </c>
      <c r="D20" s="43">
        <f>Quiz!M20</f>
        <v>3.33</v>
      </c>
      <c r="E20" s="43">
        <f>'Mid+Final'!D21</f>
        <v>15.2</v>
      </c>
      <c r="F20" s="43">
        <f>'Mid+Final'!M21</f>
        <v>0</v>
      </c>
      <c r="G20" s="43">
        <f>IFERROR(ROUNDUP(VLOOKUP(A20,Lab!$A$2:$B$39,2,False),2),0)</f>
        <v>0</v>
      </c>
      <c r="H20" s="44">
        <f t="shared" si="1"/>
        <v>21.03</v>
      </c>
    </row>
    <row r="21">
      <c r="A21" s="41">
        <f>Worksheet!A21</f>
        <v>24141155</v>
      </c>
      <c r="B21" s="42" t="str">
        <f>Worksheet!B21</f>
        <v>Md. Abrar Mahib Pritom</v>
      </c>
      <c r="C21" s="43">
        <f>Assignment!G21</f>
        <v>0</v>
      </c>
      <c r="D21" s="43">
        <f>Quiz!M21</f>
        <v>2.33</v>
      </c>
      <c r="E21" s="43">
        <f>'Mid+Final'!D22</f>
        <v>5.8</v>
      </c>
      <c r="F21" s="43">
        <f>'Mid+Final'!M22</f>
        <v>0</v>
      </c>
      <c r="G21" s="43">
        <f>IFERROR(ROUNDUP(VLOOKUP(A21,Lab!$A$2:$B$39,2,False),2),0)</f>
        <v>2.93</v>
      </c>
      <c r="H21" s="44">
        <f t="shared" si="1"/>
        <v>11.06</v>
      </c>
    </row>
    <row r="22">
      <c r="A22" s="41">
        <f>Worksheet!A22</f>
        <v>24201090</v>
      </c>
      <c r="B22" s="42" t="str">
        <f>Worksheet!B22</f>
        <v>Nafis As - Sami</v>
      </c>
      <c r="C22" s="43">
        <f>Assignment!G22</f>
        <v>5</v>
      </c>
      <c r="D22" s="43">
        <f>Quiz!M22</f>
        <v>20</v>
      </c>
      <c r="E22" s="43">
        <f>'Mid+Final'!D23</f>
        <v>16.3</v>
      </c>
      <c r="F22" s="43">
        <f>'Mid+Final'!M23</f>
        <v>26.3</v>
      </c>
      <c r="G22" s="43">
        <f>IFERROR(ROUNDUP(VLOOKUP(A22,Lab!$A$2:$B$39,2,False),2),0)</f>
        <v>22</v>
      </c>
      <c r="H22" s="44">
        <f t="shared" si="1"/>
        <v>89.6</v>
      </c>
    </row>
    <row r="23">
      <c r="A23" s="41">
        <f>Worksheet!A23</f>
        <v>24201165</v>
      </c>
      <c r="B23" s="42" t="str">
        <f>Worksheet!B23</f>
        <v>Jahareen Tasmeem</v>
      </c>
      <c r="C23" s="43">
        <f>Assignment!G23</f>
        <v>5</v>
      </c>
      <c r="D23" s="43">
        <f>Quiz!M23</f>
        <v>20</v>
      </c>
      <c r="E23" s="43">
        <f>'Mid+Final'!D24</f>
        <v>14.9</v>
      </c>
      <c r="F23" s="43">
        <f>'Mid+Final'!M24</f>
        <v>24.4</v>
      </c>
      <c r="G23" s="43">
        <f>IFERROR(ROUNDUP(VLOOKUP(A23,Lab!$A$2:$B$39,2,False),2),0)</f>
        <v>5.34</v>
      </c>
      <c r="H23" s="44">
        <f t="shared" si="1"/>
        <v>69.64</v>
      </c>
    </row>
    <row r="24">
      <c r="A24" s="41">
        <f>Worksheet!A24</f>
        <v>24201176</v>
      </c>
      <c r="B24" s="42" t="str">
        <f>Worksheet!B24</f>
        <v>Maheer Tajwar</v>
      </c>
      <c r="C24" s="43">
        <f>Assignment!G24</f>
        <v>5</v>
      </c>
      <c r="D24" s="43">
        <f>Quiz!M24</f>
        <v>16.66</v>
      </c>
      <c r="E24" s="43">
        <f>'Mid+Final'!D25</f>
        <v>16.6</v>
      </c>
      <c r="F24" s="43">
        <f>'Mid+Final'!M25</f>
        <v>25.2</v>
      </c>
      <c r="G24" s="43">
        <f>IFERROR(ROUNDUP(VLOOKUP(A24,Lab!$A$2:$B$39,2,False),2),0)</f>
        <v>8.91</v>
      </c>
      <c r="H24" s="44">
        <f t="shared" si="1"/>
        <v>72.37</v>
      </c>
    </row>
    <row r="25">
      <c r="A25" s="41">
        <f>Worksheet!A25</f>
        <v>24201193</v>
      </c>
      <c r="B25" s="42" t="str">
        <f>Worksheet!B25</f>
        <v>Md.Fardin Islam</v>
      </c>
      <c r="C25" s="43">
        <f>Assignment!G25</f>
        <v>5</v>
      </c>
      <c r="D25" s="43">
        <f>Quiz!M25</f>
        <v>19.33</v>
      </c>
      <c r="E25" s="43">
        <f>'Mid+Final'!D26</f>
        <v>14</v>
      </c>
      <c r="F25" s="43">
        <f>'Mid+Final'!M26</f>
        <v>25.5</v>
      </c>
      <c r="G25" s="43">
        <f>IFERROR(ROUNDUP(VLOOKUP(A25,Lab!$A$2:$B$39,2,False),2),0)</f>
        <v>21</v>
      </c>
      <c r="H25" s="44">
        <f t="shared" si="1"/>
        <v>84.83</v>
      </c>
    </row>
    <row r="26">
      <c r="A26" s="41">
        <f>Worksheet!A26</f>
        <v>24201199</v>
      </c>
      <c r="B26" s="42" t="str">
        <f>Worksheet!B26</f>
        <v>Faiyaz Rahman</v>
      </c>
      <c r="C26" s="43">
        <f>Assignment!G26</f>
        <v>5</v>
      </c>
      <c r="D26" s="43">
        <f>Quiz!M26</f>
        <v>20</v>
      </c>
      <c r="E26" s="43">
        <f>'Mid+Final'!D27</f>
        <v>13.5</v>
      </c>
      <c r="F26" s="43">
        <f>'Mid+Final'!M27</f>
        <v>28.5</v>
      </c>
      <c r="G26" s="43">
        <f>IFERROR(ROUNDUP(VLOOKUP(A26,Lab!$A$2:$B$39,2,False),2),0)</f>
        <v>25</v>
      </c>
      <c r="H26" s="44">
        <f t="shared" si="1"/>
        <v>92</v>
      </c>
    </row>
    <row r="27">
      <c r="A27" s="41">
        <f>Worksheet!A27</f>
        <v>24201453</v>
      </c>
      <c r="B27" s="42" t="str">
        <f>Worksheet!B27</f>
        <v>Md. Zayed Khan</v>
      </c>
      <c r="C27" s="43">
        <f>Assignment!G27</f>
        <v>5</v>
      </c>
      <c r="D27" s="43">
        <f>Quiz!M27</f>
        <v>19.33</v>
      </c>
      <c r="E27" s="43">
        <f>'Mid+Final'!D28</f>
        <v>10.6</v>
      </c>
      <c r="F27" s="43">
        <f>'Mid+Final'!M28</f>
        <v>17.7</v>
      </c>
      <c r="G27" s="43">
        <f>IFERROR(ROUNDUP(VLOOKUP(A27,Lab!$A$2:$B$39,2,False),2),0)</f>
        <v>4.34</v>
      </c>
      <c r="H27" s="44">
        <f t="shared" si="1"/>
        <v>56.97</v>
      </c>
    </row>
    <row r="28">
      <c r="A28" s="41">
        <f>Worksheet!A28</f>
        <v>24201455</v>
      </c>
      <c r="B28" s="42" t="str">
        <f>Worksheet!B28</f>
        <v>Hossain Tasnim Rumki</v>
      </c>
      <c r="C28" s="43">
        <f>Assignment!G28</f>
        <v>5</v>
      </c>
      <c r="D28" s="43">
        <f>Quiz!M28</f>
        <v>19.33</v>
      </c>
      <c r="E28" s="43">
        <f>'Mid+Final'!D29</f>
        <v>14.3</v>
      </c>
      <c r="F28" s="43">
        <f>'Mid+Final'!M29</f>
        <v>26.3</v>
      </c>
      <c r="G28" s="43">
        <f>IFERROR(ROUNDUP(VLOOKUP(A28,Lab!$A$2:$B$39,2,False),2),0)</f>
        <v>5.67</v>
      </c>
      <c r="H28" s="44">
        <f t="shared" si="1"/>
        <v>70.6</v>
      </c>
    </row>
    <row r="29">
      <c r="A29" s="41">
        <f>Worksheet!A29</f>
        <v>24204199</v>
      </c>
      <c r="B29" s="42" t="str">
        <f>Worksheet!B29</f>
        <v>Abdul Mumit Bin Jafor</v>
      </c>
      <c r="C29" s="43">
        <f>Assignment!G29</f>
        <v>3.75</v>
      </c>
      <c r="D29" s="43">
        <f>Quiz!M29</f>
        <v>16.33</v>
      </c>
      <c r="E29" s="43">
        <f>'Mid+Final'!D30</f>
        <v>10.6</v>
      </c>
      <c r="F29" s="43">
        <f>'Mid+Final'!M30</f>
        <v>16.2</v>
      </c>
      <c r="G29" s="43">
        <f>IFERROR(ROUNDUP(VLOOKUP(A29,Lab!$A$2:$B$39,2,False),2),0)</f>
        <v>7.87</v>
      </c>
      <c r="H29" s="44">
        <f t="shared" si="1"/>
        <v>54.75</v>
      </c>
    </row>
    <row r="30">
      <c r="A30" s="41">
        <f>Worksheet!A30</f>
        <v>24301002</v>
      </c>
      <c r="B30" s="42" t="str">
        <f>Worksheet!B30</f>
        <v>Wamiza Mehjabin</v>
      </c>
      <c r="C30" s="43">
        <f>Assignment!G30</f>
        <v>2.5</v>
      </c>
      <c r="D30" s="43">
        <f>Quiz!M30</f>
        <v>12</v>
      </c>
      <c r="E30" s="43">
        <f>'Mid+Final'!D31</f>
        <v>8.6</v>
      </c>
      <c r="F30" s="43">
        <f>'Mid+Final'!M31</f>
        <v>0</v>
      </c>
      <c r="G30" s="43">
        <f>IFERROR(ROUNDUP(VLOOKUP(A30,Lab!$A$2:$B$39,2,False),2),0)</f>
        <v>0</v>
      </c>
      <c r="H30" s="44">
        <f t="shared" si="1"/>
        <v>23.1</v>
      </c>
    </row>
    <row r="31">
      <c r="A31" s="45">
        <f>Worksheet!A31</f>
        <v>24301003</v>
      </c>
      <c r="B31" s="46" t="str">
        <f>Worksheet!B31</f>
        <v>Shahir Sharaf Chowdhury</v>
      </c>
      <c r="C31" s="47">
        <f>Assignment!G31</f>
        <v>2.5</v>
      </c>
      <c r="D31" s="43">
        <f>Quiz!M31</f>
        <v>11.66</v>
      </c>
      <c r="E31" s="47">
        <f>'Mid+Final'!D32</f>
        <v>0</v>
      </c>
      <c r="F31" s="47">
        <f>'Mid+Final'!M32</f>
        <v>3</v>
      </c>
      <c r="G31" s="43">
        <f>IFERROR(ROUNDUP(VLOOKUP(A31,Lab!$A$2:$B$39,2,False),2),0)</f>
        <v>2.46</v>
      </c>
      <c r="H31" s="44">
        <f t="shared" si="1"/>
        <v>19.62</v>
      </c>
    </row>
    <row r="32">
      <c r="A32" s="41">
        <f>Worksheet!A32</f>
        <v>24301116</v>
      </c>
      <c r="B32" s="42" t="str">
        <f>Worksheet!B32</f>
        <v>Mahajabin Islam</v>
      </c>
      <c r="C32" s="43">
        <f>Assignment!G32</f>
        <v>5</v>
      </c>
      <c r="D32" s="43">
        <f>Quiz!M32</f>
        <v>20</v>
      </c>
      <c r="E32" s="43">
        <f>'Mid+Final'!D33</f>
        <v>11.8</v>
      </c>
      <c r="F32" s="43">
        <f>'Mid+Final'!M33</f>
        <v>23.3</v>
      </c>
      <c r="G32" s="43">
        <f>IFERROR(ROUNDUP(VLOOKUP(A32,Lab!$A$2:$B$39,2,False),2),0)</f>
        <v>14.82</v>
      </c>
      <c r="H32" s="44">
        <f t="shared" si="1"/>
        <v>74.92</v>
      </c>
    </row>
    <row r="33">
      <c r="A33" s="41">
        <f>Worksheet!A33</f>
        <v>24301173</v>
      </c>
      <c r="B33" s="42" t="str">
        <f>Worksheet!B33</f>
        <v>Shahida Rahman</v>
      </c>
      <c r="C33" s="43">
        <f>Assignment!G33</f>
        <v>3.75</v>
      </c>
      <c r="D33" s="43">
        <f>Quiz!M33</f>
        <v>20</v>
      </c>
      <c r="E33" s="43">
        <f>'Mid+Final'!D34</f>
        <v>11.2</v>
      </c>
      <c r="F33" s="43">
        <f>'Mid+Final'!M34</f>
        <v>23.3</v>
      </c>
      <c r="G33" s="43">
        <f>IFERROR(ROUNDUP(VLOOKUP(A33,Lab!$A$2:$B$39,2,False),2),0)</f>
        <v>3.21</v>
      </c>
      <c r="H33" s="44">
        <f t="shared" si="1"/>
        <v>61.46</v>
      </c>
    </row>
    <row r="34">
      <c r="A34" s="41">
        <f>Worksheet!A34</f>
        <v>24301197</v>
      </c>
      <c r="B34" s="42" t="str">
        <f>Worksheet!B34</f>
        <v>Samin Yasar Nafi</v>
      </c>
      <c r="C34" s="43">
        <f>Assignment!G34</f>
        <v>1.25</v>
      </c>
      <c r="D34" s="43">
        <f>Quiz!M34</f>
        <v>4.33</v>
      </c>
      <c r="E34" s="43">
        <f>'Mid+Final'!D35</f>
        <v>8</v>
      </c>
      <c r="F34" s="43">
        <f>'Mid+Final'!M35</f>
        <v>0</v>
      </c>
      <c r="G34" s="43">
        <f>IFERROR(ROUNDUP(VLOOKUP(A34,Lab!$A$2:$B$39,2,False),2),0)</f>
        <v>2.18</v>
      </c>
      <c r="H34" s="44">
        <f t="shared" si="1"/>
        <v>15.76</v>
      </c>
    </row>
    <row r="35">
      <c r="A35" s="41">
        <f>Worksheet!A35</f>
        <v>24301282</v>
      </c>
      <c r="B35" s="42" t="str">
        <f>Worksheet!B35</f>
        <v>Samin Nuzaima</v>
      </c>
      <c r="C35" s="43">
        <f>Assignment!G35</f>
        <v>5</v>
      </c>
      <c r="D35" s="43">
        <f>Quiz!M35</f>
        <v>16.66</v>
      </c>
      <c r="E35" s="43">
        <f>ROUNDUP('Mid+Final'!D36,0)</f>
        <v>10</v>
      </c>
      <c r="F35" s="43">
        <f>ROUNDUP('Mid+Final'!M36,0)</f>
        <v>20</v>
      </c>
      <c r="G35" s="43">
        <f>IFERROR(ROUNDUP(VLOOKUP(A35,Lab!$A$2:$B$39,2,False),2),0)</f>
        <v>5</v>
      </c>
      <c r="H35" s="44">
        <f t="shared" si="1"/>
        <v>56.66</v>
      </c>
    </row>
    <row r="36">
      <c r="A36" s="41">
        <f>Worksheet!A36</f>
        <v>24321232</v>
      </c>
      <c r="B36" s="42" t="str">
        <f>Worksheet!B36</f>
        <v>Kazi Yasin Hridoy</v>
      </c>
      <c r="C36" s="43">
        <f>Assignment!G36</f>
        <v>5</v>
      </c>
      <c r="D36" s="43">
        <f>Quiz!M36</f>
        <v>20</v>
      </c>
      <c r="E36" s="43">
        <f>'Mid+Final'!D37</f>
        <v>6</v>
      </c>
      <c r="F36" s="43">
        <f>'Mid+Final'!M37</f>
        <v>22.5</v>
      </c>
      <c r="G36" s="43">
        <f>IFERROR(ROUNDUP(VLOOKUP(A36,Lab!$A$2:$B$39,2,False),2),0)</f>
        <v>11.11</v>
      </c>
      <c r="H36" s="44">
        <f t="shared" si="1"/>
        <v>64.61</v>
      </c>
    </row>
    <row r="37">
      <c r="A37" s="41">
        <f>Worksheet!A37</f>
        <v>24321234</v>
      </c>
      <c r="B37" s="42" t="str">
        <f>Worksheet!B37</f>
        <v>Al Jayed Rup</v>
      </c>
      <c r="C37" s="43">
        <f>Assignment!G37</f>
        <v>5</v>
      </c>
      <c r="D37" s="43">
        <f>Quiz!M37</f>
        <v>17.33</v>
      </c>
      <c r="E37" s="43">
        <f>'Mid+Final'!D38</f>
        <v>12.9</v>
      </c>
      <c r="F37" s="43">
        <f>'Mid+Final'!M38</f>
        <v>23.3</v>
      </c>
      <c r="G37" s="43">
        <f>IFERROR(ROUNDUP(VLOOKUP(A37,Lab!$A$2:$B$39,2,False),2),0)</f>
        <v>3.02</v>
      </c>
      <c r="H37" s="44">
        <f t="shared" si="1"/>
        <v>61.55</v>
      </c>
    </row>
    <row r="38">
      <c r="A38" s="41">
        <f>Worksheet!A38</f>
        <v>24341137</v>
      </c>
      <c r="B38" s="42" t="str">
        <f>Worksheet!B38</f>
        <v>G.M.A Alimul Hayat Shaikot.</v>
      </c>
      <c r="C38" s="43">
        <f>Assignment!G38</f>
        <v>0</v>
      </c>
      <c r="D38" s="48">
        <v>0.0</v>
      </c>
      <c r="E38" s="48">
        <v>0.0</v>
      </c>
      <c r="F38" s="48">
        <v>0.0</v>
      </c>
      <c r="G38" s="43">
        <f>IFERROR(ROUNDUP(VLOOKUP(A38,Lab!$A$2:$B$39,2,False),2),0)</f>
        <v>0</v>
      </c>
      <c r="H38" s="44">
        <f t="shared" si="1"/>
        <v>0</v>
      </c>
    </row>
    <row r="39">
      <c r="A39" s="41"/>
      <c r="B39" s="42"/>
      <c r="C39" s="43"/>
      <c r="D39" s="43"/>
      <c r="E39" s="43"/>
      <c r="F39" s="43"/>
      <c r="G39" s="43"/>
      <c r="H39" s="44"/>
      <c r="I39" s="49"/>
    </row>
    <row r="40">
      <c r="B40" s="50"/>
    </row>
    <row r="41">
      <c r="B41" s="50"/>
    </row>
    <row r="42">
      <c r="B42" s="50"/>
    </row>
    <row r="43">
      <c r="B43" s="50"/>
    </row>
    <row r="44">
      <c r="B44" s="50"/>
    </row>
    <row r="45">
      <c r="B45" s="50"/>
    </row>
    <row r="46">
      <c r="B46" s="50"/>
    </row>
    <row r="47">
      <c r="B47" s="50"/>
    </row>
    <row r="48">
      <c r="B48" s="50"/>
    </row>
    <row r="49">
      <c r="B49" s="50"/>
    </row>
    <row r="50">
      <c r="B50" s="50"/>
    </row>
    <row r="51">
      <c r="B51" s="50"/>
    </row>
    <row r="52">
      <c r="B52" s="50"/>
    </row>
    <row r="53">
      <c r="B53" s="50"/>
    </row>
    <row r="54">
      <c r="B54" s="50"/>
    </row>
    <row r="55">
      <c r="B55" s="50"/>
    </row>
    <row r="56">
      <c r="B56" s="50"/>
    </row>
    <row r="57">
      <c r="B57" s="50"/>
    </row>
    <row r="58">
      <c r="B58" s="50"/>
    </row>
    <row r="59">
      <c r="B59" s="50"/>
    </row>
    <row r="60">
      <c r="B60" s="50"/>
    </row>
    <row r="61">
      <c r="B61" s="50"/>
    </row>
    <row r="62">
      <c r="B62" s="50"/>
    </row>
    <row r="63">
      <c r="B63" s="50"/>
    </row>
    <row r="64">
      <c r="B64" s="50"/>
    </row>
    <row r="65">
      <c r="B65" s="50"/>
    </row>
    <row r="66">
      <c r="B66" s="50"/>
    </row>
    <row r="67">
      <c r="B67" s="50"/>
    </row>
    <row r="68">
      <c r="B68" s="50"/>
    </row>
    <row r="69">
      <c r="B69" s="50"/>
    </row>
    <row r="70">
      <c r="B70" s="50"/>
    </row>
    <row r="71">
      <c r="B71" s="50"/>
    </row>
    <row r="72">
      <c r="B72" s="50"/>
    </row>
    <row r="73">
      <c r="B73" s="50"/>
    </row>
    <row r="74">
      <c r="B74" s="50"/>
    </row>
    <row r="75">
      <c r="B75" s="50"/>
    </row>
    <row r="76">
      <c r="B76" s="50"/>
    </row>
    <row r="77">
      <c r="B77" s="50"/>
    </row>
    <row r="78">
      <c r="B78" s="50"/>
    </row>
    <row r="79">
      <c r="B79" s="50"/>
    </row>
    <row r="80">
      <c r="B80" s="50"/>
    </row>
    <row r="81">
      <c r="B81" s="50"/>
    </row>
    <row r="82">
      <c r="B82" s="50"/>
    </row>
    <row r="83">
      <c r="B83" s="50"/>
    </row>
    <row r="84">
      <c r="B84" s="50"/>
    </row>
    <row r="85">
      <c r="B85" s="50"/>
    </row>
    <row r="86">
      <c r="B86" s="50"/>
    </row>
    <row r="87">
      <c r="B87" s="50"/>
    </row>
    <row r="88">
      <c r="B88" s="50"/>
    </row>
    <row r="89">
      <c r="B89" s="50"/>
    </row>
    <row r="90">
      <c r="B90" s="50"/>
    </row>
    <row r="91">
      <c r="B91" s="50"/>
    </row>
    <row r="92">
      <c r="B92" s="50"/>
    </row>
    <row r="93">
      <c r="B93" s="50"/>
    </row>
    <row r="94">
      <c r="B94" s="50"/>
    </row>
    <row r="95">
      <c r="B95" s="50"/>
    </row>
    <row r="96">
      <c r="B96" s="50"/>
    </row>
    <row r="97">
      <c r="B97" s="50"/>
    </row>
    <row r="98">
      <c r="B98" s="50"/>
    </row>
    <row r="99">
      <c r="B99" s="50"/>
    </row>
    <row r="100">
      <c r="B100" s="50"/>
    </row>
    <row r="101">
      <c r="B101" s="50"/>
    </row>
    <row r="102">
      <c r="B102" s="50"/>
    </row>
    <row r="103">
      <c r="B103" s="50"/>
    </row>
    <row r="104">
      <c r="B104" s="50"/>
    </row>
    <row r="105">
      <c r="B105" s="50"/>
    </row>
    <row r="106">
      <c r="B106" s="50"/>
    </row>
    <row r="107">
      <c r="B107" s="50"/>
    </row>
    <row r="108">
      <c r="B108" s="50"/>
    </row>
    <row r="109">
      <c r="B109" s="50"/>
    </row>
    <row r="110">
      <c r="B110" s="50"/>
    </row>
    <row r="111">
      <c r="B111" s="50"/>
    </row>
    <row r="112">
      <c r="B112" s="50"/>
    </row>
    <row r="113">
      <c r="B113" s="50"/>
    </row>
    <row r="114">
      <c r="B114" s="50"/>
    </row>
    <row r="115">
      <c r="B115" s="50"/>
    </row>
    <row r="116">
      <c r="B116" s="50"/>
    </row>
    <row r="117">
      <c r="B117" s="50"/>
    </row>
    <row r="118">
      <c r="B118" s="50"/>
    </row>
    <row r="119">
      <c r="B119" s="50"/>
    </row>
    <row r="120">
      <c r="B120" s="50"/>
    </row>
    <row r="121">
      <c r="B121" s="50"/>
    </row>
    <row r="122">
      <c r="B122" s="50"/>
    </row>
    <row r="123">
      <c r="B123" s="50"/>
    </row>
    <row r="124">
      <c r="B124" s="50"/>
    </row>
    <row r="125">
      <c r="B125" s="50"/>
    </row>
    <row r="126">
      <c r="B126" s="50"/>
    </row>
    <row r="127">
      <c r="B127" s="50"/>
    </row>
    <row r="128">
      <c r="B128" s="50"/>
    </row>
    <row r="129">
      <c r="B129" s="50"/>
    </row>
    <row r="130">
      <c r="B130" s="50"/>
    </row>
    <row r="131">
      <c r="B131" s="50"/>
    </row>
    <row r="132">
      <c r="B132" s="50"/>
    </row>
    <row r="133">
      <c r="B133" s="50"/>
    </row>
    <row r="134">
      <c r="B134" s="50"/>
    </row>
    <row r="135">
      <c r="B135" s="50"/>
    </row>
    <row r="136">
      <c r="B136" s="50"/>
    </row>
    <row r="137">
      <c r="B137" s="50"/>
    </row>
    <row r="138">
      <c r="B138" s="50"/>
    </row>
    <row r="139">
      <c r="B139" s="50"/>
    </row>
    <row r="140">
      <c r="B140" s="50"/>
    </row>
    <row r="141">
      <c r="B141" s="50"/>
    </row>
    <row r="142">
      <c r="B142" s="50"/>
    </row>
    <row r="143">
      <c r="B143" s="50"/>
    </row>
    <row r="144">
      <c r="B144" s="50"/>
    </row>
    <row r="145">
      <c r="B145" s="50"/>
    </row>
    <row r="146">
      <c r="B146" s="50"/>
    </row>
    <row r="147">
      <c r="B147" s="50"/>
    </row>
    <row r="148">
      <c r="B148" s="50"/>
    </row>
    <row r="149">
      <c r="B149" s="50"/>
    </row>
    <row r="150">
      <c r="B150" s="50"/>
    </row>
    <row r="151">
      <c r="B151" s="50"/>
    </row>
    <row r="152">
      <c r="B152" s="50"/>
    </row>
    <row r="153">
      <c r="B153" s="50"/>
    </row>
    <row r="154">
      <c r="B154" s="50"/>
    </row>
    <row r="155">
      <c r="B155" s="50"/>
    </row>
    <row r="156">
      <c r="B156" s="50"/>
    </row>
    <row r="157">
      <c r="B157" s="50"/>
    </row>
    <row r="158">
      <c r="B158" s="50"/>
    </row>
    <row r="159">
      <c r="B159" s="50"/>
    </row>
    <row r="160">
      <c r="B160" s="50"/>
    </row>
    <row r="161">
      <c r="B161" s="50"/>
    </row>
    <row r="162">
      <c r="B162" s="50"/>
    </row>
    <row r="163">
      <c r="B163" s="50"/>
    </row>
    <row r="164">
      <c r="B164" s="50"/>
    </row>
    <row r="165">
      <c r="B165" s="50"/>
    </row>
    <row r="166">
      <c r="B166" s="50"/>
    </row>
    <row r="167">
      <c r="B167" s="50"/>
    </row>
    <row r="168">
      <c r="B168" s="50"/>
    </row>
    <row r="169">
      <c r="B169" s="50"/>
    </row>
    <row r="170">
      <c r="B170" s="50"/>
    </row>
    <row r="171">
      <c r="B171" s="50"/>
    </row>
    <row r="172">
      <c r="B172" s="50"/>
    </row>
    <row r="173">
      <c r="B173" s="50"/>
    </row>
    <row r="174">
      <c r="B174" s="50"/>
    </row>
    <row r="175">
      <c r="B175" s="50"/>
    </row>
    <row r="176">
      <c r="B176" s="50"/>
    </row>
    <row r="177">
      <c r="B177" s="50"/>
    </row>
    <row r="178">
      <c r="B178" s="50"/>
    </row>
    <row r="179">
      <c r="B179" s="50"/>
    </row>
    <row r="180">
      <c r="B180" s="50"/>
    </row>
    <row r="181">
      <c r="B181" s="50"/>
    </row>
    <row r="182">
      <c r="B182" s="50"/>
    </row>
    <row r="183">
      <c r="B183" s="50"/>
    </row>
    <row r="184">
      <c r="B184" s="50"/>
    </row>
    <row r="185">
      <c r="B185" s="50"/>
    </row>
    <row r="186">
      <c r="B186" s="50"/>
    </row>
    <row r="187">
      <c r="B187" s="50"/>
    </row>
    <row r="188">
      <c r="B188" s="50"/>
    </row>
    <row r="189">
      <c r="B189" s="50"/>
    </row>
    <row r="190">
      <c r="B190" s="50"/>
    </row>
    <row r="191">
      <c r="B191" s="50"/>
    </row>
    <row r="192">
      <c r="B192" s="50"/>
    </row>
    <row r="193">
      <c r="B193" s="50"/>
    </row>
    <row r="194">
      <c r="B194" s="50"/>
    </row>
    <row r="195">
      <c r="B195" s="50"/>
    </row>
    <row r="196">
      <c r="B196" s="50"/>
    </row>
    <row r="197">
      <c r="B197" s="50"/>
    </row>
    <row r="198">
      <c r="B198" s="50"/>
    </row>
    <row r="199">
      <c r="B199" s="50"/>
    </row>
    <row r="200">
      <c r="B200" s="50"/>
    </row>
    <row r="201">
      <c r="B201" s="50"/>
    </row>
    <row r="202">
      <c r="B202" s="50"/>
    </row>
    <row r="203">
      <c r="B203" s="50"/>
    </row>
    <row r="204">
      <c r="B204" s="50"/>
    </row>
    <row r="205">
      <c r="B205" s="50"/>
    </row>
    <row r="206">
      <c r="B206" s="50"/>
    </row>
    <row r="207">
      <c r="B207" s="50"/>
    </row>
    <row r="208">
      <c r="B208" s="50"/>
    </row>
    <row r="209">
      <c r="B209" s="50"/>
    </row>
    <row r="210">
      <c r="B210" s="50"/>
    </row>
    <row r="211">
      <c r="B211" s="50"/>
    </row>
    <row r="212">
      <c r="B212" s="50"/>
    </row>
    <row r="213">
      <c r="B213" s="50"/>
    </row>
    <row r="214">
      <c r="B214" s="50"/>
    </row>
    <row r="215">
      <c r="B215" s="50"/>
    </row>
    <row r="216">
      <c r="B216" s="50"/>
    </row>
    <row r="217">
      <c r="B217" s="50"/>
    </row>
    <row r="218">
      <c r="B218" s="50"/>
    </row>
    <row r="219">
      <c r="B219" s="50"/>
    </row>
    <row r="220">
      <c r="B220" s="50"/>
    </row>
    <row r="221">
      <c r="B221" s="50"/>
    </row>
    <row r="222">
      <c r="B222" s="50"/>
    </row>
    <row r="223">
      <c r="B223" s="50"/>
    </row>
    <row r="224">
      <c r="B224" s="50"/>
    </row>
    <row r="225">
      <c r="B225" s="50"/>
    </row>
    <row r="226">
      <c r="B226" s="50"/>
    </row>
    <row r="227">
      <c r="B227" s="50"/>
    </row>
    <row r="228">
      <c r="B228" s="50"/>
    </row>
    <row r="229">
      <c r="B229" s="50"/>
    </row>
    <row r="230">
      <c r="B230" s="50"/>
    </row>
    <row r="231">
      <c r="B231" s="50"/>
    </row>
    <row r="232">
      <c r="B232" s="50"/>
    </row>
    <row r="233">
      <c r="B233" s="50"/>
    </row>
    <row r="234">
      <c r="B234" s="50"/>
    </row>
    <row r="235">
      <c r="B235" s="50"/>
    </row>
    <row r="236">
      <c r="B236" s="50"/>
    </row>
    <row r="237">
      <c r="B237" s="50"/>
    </row>
    <row r="238">
      <c r="B238" s="50"/>
    </row>
    <row r="239">
      <c r="B239" s="50"/>
    </row>
    <row r="240">
      <c r="B240" s="50"/>
    </row>
    <row r="241">
      <c r="B241" s="50"/>
    </row>
    <row r="242">
      <c r="B242" s="50"/>
    </row>
    <row r="243">
      <c r="B243" s="50"/>
    </row>
    <row r="244">
      <c r="B244" s="50"/>
    </row>
    <row r="245">
      <c r="B245" s="50"/>
    </row>
    <row r="246">
      <c r="B246" s="50"/>
    </row>
    <row r="247">
      <c r="B247" s="50"/>
    </row>
    <row r="248">
      <c r="B248" s="50"/>
    </row>
    <row r="249">
      <c r="B249" s="50"/>
    </row>
    <row r="250">
      <c r="B250" s="50"/>
    </row>
    <row r="251">
      <c r="B251" s="50"/>
    </row>
    <row r="252">
      <c r="B252" s="50"/>
    </row>
    <row r="253">
      <c r="B253" s="50"/>
    </row>
    <row r="254">
      <c r="B254" s="50"/>
    </row>
    <row r="255">
      <c r="B255" s="50"/>
    </row>
    <row r="256">
      <c r="B256" s="50"/>
    </row>
    <row r="257">
      <c r="B257" s="50"/>
    </row>
    <row r="258">
      <c r="B258" s="50"/>
    </row>
    <row r="259">
      <c r="B259" s="50"/>
    </row>
    <row r="260">
      <c r="B260" s="50"/>
    </row>
    <row r="261">
      <c r="B261" s="50"/>
    </row>
    <row r="262">
      <c r="B262" s="50"/>
    </row>
    <row r="263">
      <c r="B263" s="50"/>
    </row>
    <row r="264">
      <c r="B264" s="50"/>
    </row>
    <row r="265">
      <c r="B265" s="50"/>
    </row>
    <row r="266">
      <c r="B266" s="50"/>
    </row>
    <row r="267">
      <c r="B267" s="50"/>
    </row>
    <row r="268">
      <c r="B268" s="50"/>
    </row>
    <row r="269">
      <c r="B269" s="50"/>
    </row>
    <row r="270">
      <c r="B270" s="50"/>
    </row>
    <row r="271">
      <c r="B271" s="50"/>
    </row>
    <row r="272">
      <c r="B272" s="50"/>
    </row>
    <row r="273">
      <c r="B273" s="50"/>
    </row>
    <row r="274">
      <c r="B274" s="50"/>
    </row>
    <row r="275">
      <c r="B275" s="50"/>
    </row>
    <row r="276">
      <c r="B276" s="50"/>
    </row>
    <row r="277">
      <c r="B277" s="50"/>
    </row>
    <row r="278">
      <c r="B278" s="50"/>
    </row>
    <row r="279">
      <c r="B279" s="50"/>
    </row>
    <row r="280">
      <c r="B280" s="50"/>
    </row>
    <row r="281">
      <c r="B281" s="50"/>
    </row>
    <row r="282">
      <c r="B282" s="50"/>
    </row>
    <row r="283">
      <c r="B283" s="50"/>
    </row>
    <row r="284">
      <c r="B284" s="50"/>
    </row>
    <row r="285">
      <c r="B285" s="50"/>
    </row>
    <row r="286">
      <c r="B286" s="50"/>
    </row>
    <row r="287">
      <c r="B287" s="50"/>
    </row>
    <row r="288">
      <c r="B288" s="50"/>
    </row>
    <row r="289">
      <c r="B289" s="50"/>
    </row>
    <row r="290">
      <c r="B290" s="50"/>
    </row>
    <row r="291">
      <c r="B291" s="50"/>
    </row>
    <row r="292">
      <c r="B292" s="50"/>
    </row>
    <row r="293">
      <c r="B293" s="50"/>
    </row>
    <row r="294">
      <c r="B294" s="50"/>
    </row>
    <row r="295">
      <c r="B295" s="50"/>
    </row>
    <row r="296">
      <c r="B296" s="50"/>
    </row>
    <row r="297">
      <c r="B297" s="50"/>
    </row>
    <row r="298">
      <c r="B298" s="50"/>
    </row>
    <row r="299">
      <c r="B299" s="50"/>
    </row>
    <row r="300">
      <c r="B300" s="50"/>
    </row>
    <row r="301">
      <c r="B301" s="50"/>
    </row>
    <row r="302">
      <c r="B302" s="50"/>
    </row>
    <row r="303">
      <c r="B303" s="50"/>
    </row>
    <row r="304">
      <c r="B304" s="50"/>
    </row>
    <row r="305">
      <c r="B305" s="50"/>
    </row>
    <row r="306">
      <c r="B306" s="50"/>
    </row>
    <row r="307">
      <c r="B307" s="50"/>
    </row>
    <row r="308">
      <c r="B308" s="50"/>
    </row>
    <row r="309">
      <c r="B309" s="50"/>
    </row>
    <row r="310">
      <c r="B310" s="50"/>
    </row>
    <row r="311">
      <c r="B311" s="50"/>
    </row>
    <row r="312">
      <c r="B312" s="50"/>
    </row>
    <row r="313">
      <c r="B313" s="50"/>
    </row>
    <row r="314">
      <c r="B314" s="50"/>
    </row>
    <row r="315">
      <c r="B315" s="50"/>
    </row>
    <row r="316">
      <c r="B316" s="50"/>
    </row>
    <row r="317">
      <c r="B317" s="50"/>
    </row>
    <row r="318">
      <c r="B318" s="50"/>
    </row>
    <row r="319">
      <c r="B319" s="50"/>
    </row>
    <row r="320">
      <c r="B320" s="50"/>
    </row>
    <row r="321">
      <c r="B321" s="50"/>
    </row>
    <row r="322">
      <c r="B322" s="50"/>
    </row>
    <row r="323">
      <c r="B323" s="50"/>
    </row>
    <row r="324">
      <c r="B324" s="50"/>
    </row>
    <row r="325">
      <c r="B325" s="50"/>
    </row>
    <row r="326">
      <c r="B326" s="50"/>
    </row>
    <row r="327">
      <c r="B327" s="50"/>
    </row>
    <row r="328">
      <c r="B328" s="50"/>
    </row>
    <row r="329">
      <c r="B329" s="50"/>
    </row>
    <row r="330">
      <c r="B330" s="50"/>
    </row>
    <row r="331">
      <c r="B331" s="50"/>
    </row>
    <row r="332">
      <c r="B332" s="50"/>
    </row>
    <row r="333">
      <c r="B333" s="50"/>
    </row>
    <row r="334">
      <c r="B334" s="50"/>
    </row>
    <row r="335">
      <c r="B335" s="50"/>
    </row>
    <row r="336">
      <c r="B336" s="50"/>
    </row>
    <row r="337">
      <c r="B337" s="50"/>
    </row>
    <row r="338">
      <c r="B338" s="50"/>
    </row>
    <row r="339">
      <c r="B339" s="50"/>
    </row>
    <row r="340">
      <c r="B340" s="50"/>
    </row>
    <row r="341">
      <c r="B341" s="50"/>
    </row>
    <row r="342">
      <c r="B342" s="50"/>
    </row>
    <row r="343">
      <c r="B343" s="50"/>
    </row>
    <row r="344">
      <c r="B344" s="50"/>
    </row>
    <row r="345">
      <c r="B345" s="50"/>
    </row>
    <row r="346">
      <c r="B346" s="50"/>
    </row>
    <row r="347">
      <c r="B347" s="50"/>
    </row>
    <row r="348">
      <c r="B348" s="50"/>
    </row>
    <row r="349">
      <c r="B349" s="50"/>
    </row>
    <row r="350">
      <c r="B350" s="50"/>
    </row>
    <row r="351">
      <c r="B351" s="50"/>
    </row>
    <row r="352">
      <c r="B352" s="50"/>
    </row>
    <row r="353">
      <c r="B353" s="50"/>
    </row>
    <row r="354">
      <c r="B354" s="50"/>
    </row>
    <row r="355">
      <c r="B355" s="50"/>
    </row>
    <row r="356">
      <c r="B356" s="50"/>
    </row>
    <row r="357">
      <c r="B357" s="50"/>
    </row>
    <row r="358">
      <c r="B358" s="50"/>
    </row>
    <row r="359">
      <c r="B359" s="50"/>
    </row>
    <row r="360">
      <c r="B360" s="50"/>
    </row>
    <row r="361">
      <c r="B361" s="50"/>
    </row>
    <row r="362">
      <c r="B362" s="50"/>
    </row>
    <row r="363">
      <c r="B363" s="50"/>
    </row>
    <row r="364">
      <c r="B364" s="50"/>
    </row>
    <row r="365">
      <c r="B365" s="50"/>
    </row>
    <row r="366">
      <c r="B366" s="50"/>
    </row>
    <row r="367">
      <c r="B367" s="50"/>
    </row>
    <row r="368">
      <c r="B368" s="50"/>
    </row>
    <row r="369">
      <c r="B369" s="50"/>
    </row>
    <row r="370">
      <c r="B370" s="50"/>
    </row>
    <row r="371">
      <c r="B371" s="50"/>
    </row>
    <row r="372">
      <c r="B372" s="50"/>
    </row>
    <row r="373">
      <c r="B373" s="50"/>
    </row>
    <row r="374">
      <c r="B374" s="50"/>
    </row>
    <row r="375">
      <c r="B375" s="50"/>
    </row>
    <row r="376">
      <c r="B376" s="50"/>
    </row>
    <row r="377">
      <c r="B377" s="50"/>
    </row>
    <row r="378">
      <c r="B378" s="50"/>
    </row>
    <row r="379">
      <c r="B379" s="50"/>
    </row>
    <row r="380">
      <c r="B380" s="50"/>
    </row>
    <row r="381">
      <c r="B381" s="50"/>
    </row>
    <row r="382">
      <c r="B382" s="50"/>
    </row>
    <row r="383">
      <c r="B383" s="50"/>
    </row>
    <row r="384">
      <c r="B384" s="50"/>
    </row>
    <row r="385">
      <c r="B385" s="50"/>
    </row>
    <row r="386">
      <c r="B386" s="50"/>
    </row>
    <row r="387">
      <c r="B387" s="50"/>
    </row>
    <row r="388">
      <c r="B388" s="50"/>
    </row>
    <row r="389">
      <c r="B389" s="50"/>
    </row>
    <row r="390">
      <c r="B390" s="50"/>
    </row>
    <row r="391">
      <c r="B391" s="50"/>
    </row>
    <row r="392">
      <c r="B392" s="50"/>
    </row>
    <row r="393">
      <c r="B393" s="50"/>
    </row>
    <row r="394">
      <c r="B394" s="50"/>
    </row>
    <row r="395">
      <c r="B395" s="50"/>
    </row>
    <row r="396">
      <c r="B396" s="50"/>
    </row>
    <row r="397">
      <c r="B397" s="50"/>
    </row>
    <row r="398">
      <c r="B398" s="50"/>
    </row>
    <row r="399">
      <c r="B399" s="50"/>
    </row>
    <row r="400">
      <c r="B400" s="50"/>
    </row>
    <row r="401">
      <c r="B401" s="50"/>
    </row>
    <row r="402">
      <c r="B402" s="50"/>
    </row>
    <row r="403">
      <c r="B403" s="50"/>
    </row>
    <row r="404">
      <c r="B404" s="50"/>
    </row>
    <row r="405">
      <c r="B405" s="50"/>
    </row>
    <row r="406">
      <c r="B406" s="50"/>
    </row>
    <row r="407">
      <c r="B407" s="50"/>
    </row>
    <row r="408">
      <c r="B408" s="50"/>
    </row>
    <row r="409">
      <c r="B409" s="50"/>
    </row>
    <row r="410">
      <c r="B410" s="50"/>
    </row>
    <row r="411">
      <c r="B411" s="50"/>
    </row>
    <row r="412">
      <c r="B412" s="50"/>
    </row>
    <row r="413">
      <c r="B413" s="50"/>
    </row>
    <row r="414">
      <c r="B414" s="50"/>
    </row>
    <row r="415">
      <c r="B415" s="50"/>
    </row>
    <row r="416">
      <c r="B416" s="50"/>
    </row>
    <row r="417">
      <c r="B417" s="50"/>
    </row>
    <row r="418">
      <c r="B418" s="50"/>
    </row>
    <row r="419">
      <c r="B419" s="50"/>
    </row>
    <row r="420">
      <c r="B420" s="50"/>
    </row>
    <row r="421">
      <c r="B421" s="50"/>
    </row>
    <row r="422">
      <c r="B422" s="50"/>
    </row>
    <row r="423">
      <c r="B423" s="50"/>
    </row>
    <row r="424">
      <c r="B424" s="50"/>
    </row>
    <row r="425">
      <c r="B425" s="50"/>
    </row>
    <row r="426">
      <c r="B426" s="50"/>
    </row>
    <row r="427">
      <c r="B427" s="50"/>
    </row>
    <row r="428">
      <c r="B428" s="50"/>
    </row>
    <row r="429">
      <c r="B429" s="50"/>
    </row>
    <row r="430">
      <c r="B430" s="50"/>
    </row>
    <row r="431">
      <c r="B431" s="50"/>
    </row>
    <row r="432">
      <c r="B432" s="50"/>
    </row>
    <row r="433">
      <c r="B433" s="50"/>
    </row>
    <row r="434">
      <c r="B434" s="50"/>
    </row>
    <row r="435">
      <c r="B435" s="50"/>
    </row>
    <row r="436">
      <c r="B436" s="50"/>
    </row>
    <row r="437">
      <c r="B437" s="50"/>
    </row>
    <row r="438">
      <c r="B438" s="50"/>
    </row>
    <row r="439">
      <c r="B439" s="50"/>
    </row>
    <row r="440">
      <c r="B440" s="50"/>
    </row>
    <row r="441">
      <c r="B441" s="50"/>
    </row>
    <row r="442">
      <c r="B442" s="50"/>
    </row>
    <row r="443">
      <c r="B443" s="50"/>
    </row>
    <row r="444">
      <c r="B444" s="50"/>
    </row>
    <row r="445">
      <c r="B445" s="50"/>
    </row>
    <row r="446">
      <c r="B446" s="50"/>
    </row>
    <row r="447">
      <c r="B447" s="50"/>
    </row>
    <row r="448">
      <c r="B448" s="50"/>
    </row>
    <row r="449">
      <c r="B449" s="50"/>
    </row>
    <row r="450">
      <c r="B450" s="50"/>
    </row>
    <row r="451">
      <c r="B451" s="50"/>
    </row>
    <row r="452">
      <c r="B452" s="50"/>
    </row>
    <row r="453">
      <c r="B453" s="50"/>
    </row>
    <row r="454">
      <c r="B454" s="50"/>
    </row>
    <row r="455">
      <c r="B455" s="50"/>
    </row>
    <row r="456">
      <c r="B456" s="50"/>
    </row>
    <row r="457">
      <c r="B457" s="50"/>
    </row>
    <row r="458">
      <c r="B458" s="50"/>
    </row>
    <row r="459">
      <c r="B459" s="50"/>
    </row>
    <row r="460">
      <c r="B460" s="50"/>
    </row>
    <row r="461">
      <c r="B461" s="50"/>
    </row>
    <row r="462">
      <c r="B462" s="50"/>
    </row>
    <row r="463">
      <c r="B463" s="50"/>
    </row>
    <row r="464">
      <c r="B464" s="50"/>
    </row>
    <row r="465">
      <c r="B465" s="50"/>
    </row>
    <row r="466">
      <c r="B466" s="50"/>
    </row>
    <row r="467">
      <c r="B467" s="50"/>
    </row>
    <row r="468">
      <c r="B468" s="50"/>
    </row>
    <row r="469">
      <c r="B469" s="50"/>
    </row>
    <row r="470">
      <c r="B470" s="50"/>
    </row>
    <row r="471">
      <c r="B471" s="50"/>
    </row>
    <row r="472">
      <c r="B472" s="50"/>
    </row>
    <row r="473">
      <c r="B473" s="50"/>
    </row>
    <row r="474">
      <c r="B474" s="50"/>
    </row>
    <row r="475">
      <c r="B475" s="50"/>
    </row>
    <row r="476">
      <c r="B476" s="50"/>
    </row>
    <row r="477">
      <c r="B477" s="50"/>
    </row>
    <row r="478">
      <c r="B478" s="50"/>
    </row>
    <row r="479">
      <c r="B479" s="50"/>
    </row>
    <row r="480">
      <c r="B480" s="50"/>
    </row>
    <row r="481">
      <c r="B481" s="50"/>
    </row>
    <row r="482">
      <c r="B482" s="50"/>
    </row>
    <row r="483">
      <c r="B483" s="50"/>
    </row>
    <row r="484">
      <c r="B484" s="50"/>
    </row>
    <row r="485">
      <c r="B485" s="50"/>
    </row>
    <row r="486">
      <c r="B486" s="50"/>
    </row>
    <row r="487">
      <c r="B487" s="50"/>
    </row>
    <row r="488">
      <c r="B488" s="50"/>
    </row>
    <row r="489">
      <c r="B489" s="50"/>
    </row>
    <row r="490">
      <c r="B490" s="50"/>
    </row>
    <row r="491">
      <c r="B491" s="50"/>
    </row>
    <row r="492">
      <c r="B492" s="50"/>
    </row>
    <row r="493">
      <c r="B493" s="50"/>
    </row>
    <row r="494">
      <c r="B494" s="50"/>
    </row>
    <row r="495">
      <c r="B495" s="50"/>
    </row>
    <row r="496">
      <c r="B496" s="50"/>
    </row>
    <row r="497">
      <c r="B497" s="50"/>
    </row>
    <row r="498">
      <c r="B498" s="50"/>
    </row>
    <row r="499">
      <c r="B499" s="50"/>
    </row>
    <row r="500">
      <c r="B500" s="50"/>
    </row>
    <row r="501">
      <c r="B501" s="50"/>
    </row>
    <row r="502">
      <c r="B502" s="50"/>
    </row>
    <row r="503">
      <c r="B503" s="50"/>
    </row>
    <row r="504">
      <c r="B504" s="50"/>
    </row>
    <row r="505">
      <c r="B505" s="50"/>
    </row>
    <row r="506">
      <c r="B506" s="50"/>
    </row>
    <row r="507">
      <c r="B507" s="50"/>
    </row>
    <row r="508">
      <c r="B508" s="50"/>
    </row>
    <row r="509">
      <c r="B509" s="50"/>
    </row>
    <row r="510">
      <c r="B510" s="50"/>
    </row>
    <row r="511">
      <c r="B511" s="50"/>
    </row>
    <row r="512">
      <c r="B512" s="50"/>
    </row>
    <row r="513">
      <c r="B513" s="50"/>
    </row>
    <row r="514">
      <c r="B514" s="50"/>
    </row>
    <row r="515">
      <c r="B515" s="50"/>
    </row>
    <row r="516">
      <c r="B516" s="50"/>
    </row>
    <row r="517">
      <c r="B517" s="50"/>
    </row>
    <row r="518">
      <c r="B518" s="50"/>
    </row>
    <row r="519">
      <c r="B519" s="50"/>
    </row>
    <row r="520">
      <c r="B520" s="50"/>
    </row>
    <row r="521">
      <c r="B521" s="50"/>
    </row>
    <row r="522">
      <c r="B522" s="50"/>
    </row>
    <row r="523">
      <c r="B523" s="50"/>
    </row>
    <row r="524">
      <c r="B524" s="50"/>
    </row>
    <row r="525">
      <c r="B525" s="50"/>
    </row>
    <row r="526">
      <c r="B526" s="50"/>
    </row>
    <row r="527">
      <c r="B527" s="50"/>
    </row>
    <row r="528">
      <c r="B528" s="50"/>
    </row>
    <row r="529">
      <c r="B529" s="50"/>
    </row>
    <row r="530">
      <c r="B530" s="50"/>
    </row>
    <row r="531">
      <c r="B531" s="50"/>
    </row>
    <row r="532">
      <c r="B532" s="50"/>
    </row>
    <row r="533">
      <c r="B533" s="50"/>
    </row>
    <row r="534">
      <c r="B534" s="50"/>
    </row>
    <row r="535">
      <c r="B535" s="50"/>
    </row>
    <row r="536">
      <c r="B536" s="50"/>
    </row>
    <row r="537">
      <c r="B537" s="50"/>
    </row>
    <row r="538">
      <c r="B538" s="50"/>
    </row>
    <row r="539">
      <c r="B539" s="50"/>
    </row>
    <row r="540">
      <c r="B540" s="50"/>
    </row>
    <row r="541">
      <c r="B541" s="50"/>
    </row>
    <row r="542">
      <c r="B542" s="50"/>
    </row>
    <row r="543">
      <c r="B543" s="50"/>
    </row>
    <row r="544">
      <c r="B544" s="50"/>
    </row>
    <row r="545">
      <c r="B545" s="50"/>
    </row>
    <row r="546">
      <c r="B546" s="50"/>
    </row>
    <row r="547">
      <c r="B547" s="50"/>
    </row>
    <row r="548">
      <c r="B548" s="50"/>
    </row>
    <row r="549">
      <c r="B549" s="50"/>
    </row>
    <row r="550">
      <c r="B550" s="50"/>
    </row>
    <row r="551">
      <c r="B551" s="50"/>
    </row>
    <row r="552">
      <c r="B552" s="50"/>
    </row>
    <row r="553">
      <c r="B553" s="50"/>
    </row>
    <row r="554">
      <c r="B554" s="50"/>
    </row>
    <row r="555">
      <c r="B555" s="50"/>
    </row>
    <row r="556">
      <c r="B556" s="50"/>
    </row>
    <row r="557">
      <c r="B557" s="50"/>
    </row>
    <row r="558">
      <c r="B558" s="50"/>
    </row>
    <row r="559">
      <c r="B559" s="50"/>
    </row>
    <row r="560">
      <c r="B560" s="50"/>
    </row>
    <row r="561">
      <c r="B561" s="50"/>
    </row>
    <row r="562">
      <c r="B562" s="50"/>
    </row>
    <row r="563">
      <c r="B563" s="50"/>
    </row>
    <row r="564">
      <c r="B564" s="50"/>
    </row>
    <row r="565">
      <c r="B565" s="50"/>
    </row>
    <row r="566">
      <c r="B566" s="50"/>
    </row>
    <row r="567">
      <c r="B567" s="50"/>
    </row>
    <row r="568">
      <c r="B568" s="50"/>
    </row>
    <row r="569">
      <c r="B569" s="50"/>
    </row>
    <row r="570">
      <c r="B570" s="50"/>
    </row>
    <row r="571">
      <c r="B571" s="50"/>
    </row>
    <row r="572">
      <c r="B572" s="50"/>
    </row>
    <row r="573">
      <c r="B573" s="50"/>
    </row>
    <row r="574">
      <c r="B574" s="50"/>
    </row>
    <row r="575">
      <c r="B575" s="50"/>
    </row>
    <row r="576">
      <c r="B576" s="50"/>
    </row>
    <row r="577">
      <c r="B577" s="50"/>
    </row>
    <row r="578">
      <c r="B578" s="50"/>
    </row>
    <row r="579">
      <c r="B579" s="50"/>
    </row>
    <row r="580">
      <c r="B580" s="50"/>
    </row>
    <row r="581">
      <c r="B581" s="50"/>
    </row>
    <row r="582">
      <c r="B582" s="50"/>
    </row>
    <row r="583">
      <c r="B583" s="50"/>
    </row>
    <row r="584">
      <c r="B584" s="50"/>
    </row>
    <row r="585">
      <c r="B585" s="50"/>
    </row>
    <row r="586">
      <c r="B586" s="50"/>
    </row>
    <row r="587">
      <c r="B587" s="50"/>
    </row>
    <row r="588">
      <c r="B588" s="50"/>
    </row>
    <row r="589">
      <c r="B589" s="50"/>
    </row>
    <row r="590">
      <c r="B590" s="50"/>
    </row>
    <row r="591">
      <c r="B591" s="50"/>
    </row>
    <row r="592">
      <c r="B592" s="50"/>
    </row>
    <row r="593">
      <c r="B593" s="50"/>
    </row>
    <row r="594">
      <c r="B594" s="50"/>
    </row>
    <row r="595">
      <c r="B595" s="50"/>
    </row>
    <row r="596">
      <c r="B596" s="50"/>
    </row>
    <row r="597">
      <c r="B597" s="50"/>
    </row>
    <row r="598">
      <c r="B598" s="50"/>
    </row>
    <row r="599">
      <c r="B599" s="50"/>
    </row>
    <row r="600">
      <c r="B600" s="50"/>
    </row>
    <row r="601">
      <c r="B601" s="50"/>
    </row>
    <row r="602">
      <c r="B602" s="50"/>
    </row>
    <row r="603">
      <c r="B603" s="50"/>
    </row>
    <row r="604">
      <c r="B604" s="50"/>
    </row>
    <row r="605">
      <c r="B605" s="50"/>
    </row>
    <row r="606">
      <c r="B606" s="50"/>
    </row>
    <row r="607">
      <c r="B607" s="50"/>
    </row>
    <row r="608">
      <c r="B608" s="50"/>
    </row>
    <row r="609">
      <c r="B609" s="50"/>
    </row>
    <row r="610">
      <c r="B610" s="50"/>
    </row>
    <row r="611">
      <c r="B611" s="50"/>
    </row>
    <row r="612">
      <c r="B612" s="50"/>
    </row>
    <row r="613">
      <c r="B613" s="50"/>
    </row>
    <row r="614">
      <c r="B614" s="50"/>
    </row>
    <row r="615">
      <c r="B615" s="50"/>
    </row>
    <row r="616">
      <c r="B616" s="50"/>
    </row>
    <row r="617">
      <c r="B617" s="50"/>
    </row>
    <row r="618">
      <c r="B618" s="50"/>
    </row>
    <row r="619">
      <c r="B619" s="50"/>
    </row>
    <row r="620">
      <c r="B620" s="50"/>
    </row>
    <row r="621">
      <c r="B621" s="50"/>
    </row>
    <row r="622">
      <c r="B622" s="50"/>
    </row>
    <row r="623">
      <c r="B623" s="50"/>
    </row>
    <row r="624">
      <c r="B624" s="50"/>
    </row>
    <row r="625">
      <c r="B625" s="50"/>
    </row>
    <row r="626">
      <c r="B626" s="50"/>
    </row>
    <row r="627">
      <c r="B627" s="50"/>
    </row>
    <row r="628">
      <c r="B628" s="50"/>
    </row>
    <row r="629">
      <c r="B629" s="50"/>
    </row>
    <row r="630">
      <c r="B630" s="50"/>
    </row>
    <row r="631">
      <c r="B631" s="50"/>
    </row>
    <row r="632">
      <c r="B632" s="50"/>
    </row>
    <row r="633">
      <c r="B633" s="50"/>
    </row>
    <row r="634">
      <c r="B634" s="50"/>
    </row>
    <row r="635">
      <c r="B635" s="50"/>
    </row>
    <row r="636">
      <c r="B636" s="50"/>
    </row>
    <row r="637">
      <c r="B637" s="50"/>
    </row>
    <row r="638">
      <c r="B638" s="50"/>
    </row>
    <row r="639">
      <c r="B639" s="50"/>
    </row>
    <row r="640">
      <c r="B640" s="50"/>
    </row>
    <row r="641">
      <c r="B641" s="50"/>
    </row>
    <row r="642">
      <c r="B642" s="50"/>
    </row>
    <row r="643">
      <c r="B643" s="50"/>
    </row>
    <row r="644">
      <c r="B644" s="50"/>
    </row>
    <row r="645">
      <c r="B645" s="50"/>
    </row>
    <row r="646">
      <c r="B646" s="50"/>
    </row>
    <row r="647">
      <c r="B647" s="50"/>
    </row>
    <row r="648">
      <c r="B648" s="50"/>
    </row>
    <row r="649">
      <c r="B649" s="50"/>
    </row>
    <row r="650">
      <c r="B650" s="50"/>
    </row>
    <row r="651">
      <c r="B651" s="50"/>
    </row>
    <row r="652">
      <c r="B652" s="50"/>
    </row>
    <row r="653">
      <c r="B653" s="50"/>
    </row>
    <row r="654">
      <c r="B654" s="50"/>
    </row>
    <row r="655">
      <c r="B655" s="50"/>
    </row>
    <row r="656">
      <c r="B656" s="50"/>
    </row>
    <row r="657">
      <c r="B657" s="50"/>
    </row>
    <row r="658">
      <c r="B658" s="50"/>
    </row>
    <row r="659">
      <c r="B659" s="50"/>
    </row>
    <row r="660">
      <c r="B660" s="50"/>
    </row>
    <row r="661">
      <c r="B661" s="50"/>
    </row>
    <row r="662">
      <c r="B662" s="50"/>
    </row>
    <row r="663">
      <c r="B663" s="50"/>
    </row>
    <row r="664">
      <c r="B664" s="50"/>
    </row>
    <row r="665">
      <c r="B665" s="50"/>
    </row>
    <row r="666">
      <c r="B666" s="50"/>
    </row>
    <row r="667">
      <c r="B667" s="50"/>
    </row>
    <row r="668">
      <c r="B668" s="50"/>
    </row>
    <row r="669">
      <c r="B669" s="50"/>
    </row>
    <row r="670">
      <c r="B670" s="50"/>
    </row>
    <row r="671">
      <c r="B671" s="50"/>
    </row>
    <row r="672">
      <c r="B672" s="50"/>
    </row>
    <row r="673">
      <c r="B673" s="50"/>
    </row>
    <row r="674">
      <c r="B674" s="50"/>
    </row>
    <row r="675">
      <c r="B675" s="50"/>
    </row>
    <row r="676">
      <c r="B676" s="50"/>
    </row>
    <row r="677">
      <c r="B677" s="50"/>
    </row>
    <row r="678">
      <c r="B678" s="50"/>
    </row>
    <row r="679">
      <c r="B679" s="50"/>
    </row>
    <row r="680">
      <c r="B680" s="50"/>
    </row>
    <row r="681">
      <c r="B681" s="50"/>
    </row>
    <row r="682">
      <c r="B682" s="50"/>
    </row>
    <row r="683">
      <c r="B683" s="50"/>
    </row>
    <row r="684">
      <c r="B684" s="50"/>
    </row>
    <row r="685">
      <c r="B685" s="50"/>
    </row>
    <row r="686">
      <c r="B686" s="50"/>
    </row>
    <row r="687">
      <c r="B687" s="50"/>
    </row>
    <row r="688">
      <c r="B688" s="50"/>
    </row>
    <row r="689">
      <c r="B689" s="50"/>
    </row>
    <row r="690">
      <c r="B690" s="50"/>
    </row>
    <row r="691">
      <c r="B691" s="50"/>
    </row>
    <row r="692">
      <c r="B692" s="50"/>
    </row>
    <row r="693">
      <c r="B693" s="50"/>
    </row>
    <row r="694">
      <c r="B694" s="50"/>
    </row>
    <row r="695">
      <c r="B695" s="50"/>
    </row>
    <row r="696">
      <c r="B696" s="50"/>
    </row>
    <row r="697">
      <c r="B697" s="50"/>
    </row>
    <row r="698">
      <c r="B698" s="50"/>
    </row>
    <row r="699">
      <c r="B699" s="50"/>
    </row>
    <row r="700">
      <c r="B700" s="50"/>
    </row>
    <row r="701">
      <c r="B701" s="50"/>
    </row>
    <row r="702">
      <c r="B702" s="50"/>
    </row>
    <row r="703">
      <c r="B703" s="50"/>
    </row>
    <row r="704">
      <c r="B704" s="50"/>
    </row>
    <row r="705">
      <c r="B705" s="50"/>
    </row>
    <row r="706">
      <c r="B706" s="50"/>
    </row>
    <row r="707">
      <c r="B707" s="50"/>
    </row>
    <row r="708">
      <c r="B708" s="50"/>
    </row>
    <row r="709">
      <c r="B709" s="50"/>
    </row>
    <row r="710">
      <c r="B710" s="50"/>
    </row>
    <row r="711">
      <c r="B711" s="50"/>
    </row>
    <row r="712">
      <c r="B712" s="50"/>
    </row>
    <row r="713">
      <c r="B713" s="50"/>
    </row>
    <row r="714">
      <c r="B714" s="50"/>
    </row>
    <row r="715">
      <c r="B715" s="50"/>
    </row>
    <row r="716">
      <c r="B716" s="50"/>
    </row>
    <row r="717">
      <c r="B717" s="50"/>
    </row>
    <row r="718">
      <c r="B718" s="50"/>
    </row>
    <row r="719">
      <c r="B719" s="50"/>
    </row>
    <row r="720">
      <c r="B720" s="50"/>
    </row>
    <row r="721">
      <c r="B721" s="50"/>
    </row>
    <row r="722">
      <c r="B722" s="50"/>
    </row>
    <row r="723">
      <c r="B723" s="50"/>
    </row>
    <row r="724">
      <c r="B724" s="50"/>
    </row>
    <row r="725">
      <c r="B725" s="50"/>
    </row>
    <row r="726">
      <c r="B726" s="50"/>
    </row>
    <row r="727">
      <c r="B727" s="50"/>
    </row>
    <row r="728">
      <c r="B728" s="50"/>
    </row>
    <row r="729">
      <c r="B729" s="50"/>
    </row>
    <row r="730">
      <c r="B730" s="50"/>
    </row>
    <row r="731">
      <c r="B731" s="50"/>
    </row>
    <row r="732">
      <c r="B732" s="50"/>
    </row>
    <row r="733">
      <c r="B733" s="50"/>
    </row>
    <row r="734">
      <c r="B734" s="50"/>
    </row>
    <row r="735">
      <c r="B735" s="50"/>
    </row>
    <row r="736">
      <c r="B736" s="50"/>
    </row>
    <row r="737">
      <c r="B737" s="50"/>
    </row>
    <row r="738">
      <c r="B738" s="50"/>
    </row>
    <row r="739">
      <c r="B739" s="50"/>
    </row>
    <row r="740">
      <c r="B740" s="50"/>
    </row>
    <row r="741">
      <c r="B741" s="50"/>
    </row>
    <row r="742">
      <c r="B742" s="50"/>
    </row>
    <row r="743">
      <c r="B743" s="50"/>
    </row>
    <row r="744">
      <c r="B744" s="50"/>
    </row>
    <row r="745">
      <c r="B745" s="50"/>
    </row>
    <row r="746">
      <c r="B746" s="50"/>
    </row>
    <row r="747">
      <c r="B747" s="50"/>
    </row>
    <row r="748">
      <c r="B748" s="50"/>
    </row>
    <row r="749">
      <c r="B749" s="50"/>
    </row>
    <row r="750">
      <c r="B750" s="50"/>
    </row>
    <row r="751">
      <c r="B751" s="50"/>
    </row>
    <row r="752">
      <c r="B752" s="50"/>
    </row>
    <row r="753">
      <c r="B753" s="50"/>
    </row>
    <row r="754">
      <c r="B754" s="50"/>
    </row>
    <row r="755">
      <c r="B755" s="50"/>
    </row>
    <row r="756">
      <c r="B756" s="50"/>
    </row>
    <row r="757">
      <c r="B757" s="50"/>
    </row>
    <row r="758">
      <c r="B758" s="50"/>
    </row>
    <row r="759">
      <c r="B759" s="50"/>
    </row>
    <row r="760">
      <c r="B760" s="50"/>
    </row>
    <row r="761">
      <c r="B761" s="50"/>
    </row>
    <row r="762">
      <c r="B762" s="50"/>
    </row>
    <row r="763">
      <c r="B763" s="50"/>
    </row>
    <row r="764">
      <c r="B764" s="50"/>
    </row>
    <row r="765">
      <c r="B765" s="50"/>
    </row>
    <row r="766">
      <c r="B766" s="50"/>
    </row>
    <row r="767">
      <c r="B767" s="50"/>
    </row>
    <row r="768">
      <c r="B768" s="50"/>
    </row>
    <row r="769">
      <c r="B769" s="50"/>
    </row>
    <row r="770">
      <c r="B770" s="50"/>
    </row>
    <row r="771">
      <c r="B771" s="50"/>
    </row>
    <row r="772">
      <c r="B772" s="50"/>
    </row>
    <row r="773">
      <c r="B773" s="50"/>
    </row>
    <row r="774">
      <c r="B774" s="50"/>
    </row>
    <row r="775">
      <c r="B775" s="50"/>
    </row>
    <row r="776">
      <c r="B776" s="50"/>
    </row>
    <row r="777">
      <c r="B777" s="50"/>
    </row>
    <row r="778">
      <c r="B778" s="50"/>
    </row>
    <row r="779">
      <c r="B779" s="50"/>
    </row>
    <row r="780">
      <c r="B780" s="50"/>
    </row>
    <row r="781">
      <c r="B781" s="50"/>
    </row>
    <row r="782">
      <c r="B782" s="50"/>
    </row>
    <row r="783">
      <c r="B783" s="50"/>
    </row>
    <row r="784">
      <c r="B784" s="50"/>
    </row>
    <row r="785">
      <c r="B785" s="50"/>
    </row>
    <row r="786">
      <c r="B786" s="50"/>
    </row>
    <row r="787">
      <c r="B787" s="50"/>
    </row>
    <row r="788">
      <c r="B788" s="50"/>
    </row>
    <row r="789">
      <c r="B789" s="50"/>
    </row>
    <row r="790">
      <c r="B790" s="50"/>
    </row>
    <row r="791">
      <c r="B791" s="50"/>
    </row>
    <row r="792">
      <c r="B792" s="50"/>
    </row>
    <row r="793">
      <c r="B793" s="50"/>
    </row>
    <row r="794">
      <c r="B794" s="50"/>
    </row>
    <row r="795">
      <c r="B795" s="50"/>
    </row>
    <row r="796">
      <c r="B796" s="50"/>
    </row>
    <row r="797">
      <c r="B797" s="50"/>
    </row>
    <row r="798">
      <c r="B798" s="50"/>
    </row>
    <row r="799">
      <c r="B799" s="50"/>
    </row>
    <row r="800">
      <c r="B800" s="50"/>
    </row>
    <row r="801">
      <c r="B801" s="50"/>
    </row>
    <row r="802">
      <c r="B802" s="50"/>
    </row>
    <row r="803">
      <c r="B803" s="50"/>
    </row>
    <row r="804">
      <c r="B804" s="50"/>
    </row>
    <row r="805">
      <c r="B805" s="50"/>
    </row>
    <row r="806">
      <c r="B806" s="50"/>
    </row>
    <row r="807">
      <c r="B807" s="50"/>
    </row>
    <row r="808">
      <c r="B808" s="50"/>
    </row>
    <row r="809">
      <c r="B809" s="50"/>
    </row>
    <row r="810">
      <c r="B810" s="50"/>
    </row>
    <row r="811">
      <c r="B811" s="50"/>
    </row>
    <row r="812">
      <c r="B812" s="50"/>
    </row>
    <row r="813">
      <c r="B813" s="50"/>
    </row>
    <row r="814">
      <c r="B814" s="50"/>
    </row>
    <row r="815">
      <c r="B815" s="50"/>
    </row>
    <row r="816">
      <c r="B816" s="50"/>
    </row>
    <row r="817">
      <c r="B817" s="50"/>
    </row>
    <row r="818">
      <c r="B818" s="50"/>
    </row>
    <row r="819">
      <c r="B819" s="50"/>
    </row>
    <row r="820">
      <c r="B820" s="50"/>
    </row>
    <row r="821">
      <c r="B821" s="50"/>
    </row>
    <row r="822">
      <c r="B822" s="50"/>
    </row>
    <row r="823">
      <c r="B823" s="50"/>
    </row>
    <row r="824">
      <c r="B824" s="50"/>
    </row>
    <row r="825">
      <c r="B825" s="50"/>
    </row>
    <row r="826">
      <c r="B826" s="50"/>
    </row>
    <row r="827">
      <c r="B827" s="50"/>
    </row>
    <row r="828">
      <c r="B828" s="50"/>
    </row>
    <row r="829">
      <c r="B829" s="50"/>
    </row>
    <row r="830">
      <c r="B830" s="50"/>
    </row>
    <row r="831">
      <c r="B831" s="50"/>
    </row>
    <row r="832">
      <c r="B832" s="50"/>
    </row>
    <row r="833">
      <c r="B833" s="50"/>
    </row>
    <row r="834">
      <c r="B834" s="50"/>
    </row>
    <row r="835">
      <c r="B835" s="50"/>
    </row>
    <row r="836">
      <c r="B836" s="50"/>
    </row>
    <row r="837">
      <c r="B837" s="50"/>
    </row>
    <row r="838">
      <c r="B838" s="50"/>
    </row>
    <row r="839">
      <c r="B839" s="50"/>
    </row>
    <row r="840">
      <c r="B840" s="50"/>
    </row>
    <row r="841">
      <c r="B841" s="50"/>
    </row>
    <row r="842">
      <c r="B842" s="50"/>
    </row>
    <row r="843">
      <c r="B843" s="50"/>
    </row>
    <row r="844">
      <c r="B844" s="50"/>
    </row>
    <row r="845">
      <c r="B845" s="50"/>
    </row>
    <row r="846">
      <c r="B846" s="50"/>
    </row>
    <row r="847">
      <c r="B847" s="50"/>
    </row>
    <row r="848">
      <c r="B848" s="50"/>
    </row>
    <row r="849">
      <c r="B849" s="50"/>
    </row>
    <row r="850">
      <c r="B850" s="50"/>
    </row>
    <row r="851">
      <c r="B851" s="50"/>
    </row>
    <row r="852">
      <c r="B852" s="50"/>
    </row>
    <row r="853">
      <c r="B853" s="50"/>
    </row>
    <row r="854">
      <c r="B854" s="50"/>
    </row>
    <row r="855">
      <c r="B855" s="50"/>
    </row>
    <row r="856">
      <c r="B856" s="50"/>
    </row>
    <row r="857">
      <c r="B857" s="50"/>
    </row>
    <row r="858">
      <c r="B858" s="50"/>
    </row>
    <row r="859">
      <c r="B859" s="50"/>
    </row>
    <row r="860">
      <c r="B860" s="50"/>
    </row>
    <row r="861">
      <c r="B861" s="50"/>
    </row>
    <row r="862">
      <c r="B862" s="50"/>
    </row>
    <row r="863">
      <c r="B863" s="50"/>
    </row>
    <row r="864">
      <c r="B864" s="50"/>
    </row>
    <row r="865">
      <c r="B865" s="50"/>
    </row>
    <row r="866">
      <c r="B866" s="50"/>
    </row>
    <row r="867">
      <c r="B867" s="50"/>
    </row>
    <row r="868">
      <c r="B868" s="50"/>
    </row>
    <row r="869">
      <c r="B869" s="50"/>
    </row>
    <row r="870">
      <c r="B870" s="50"/>
    </row>
    <row r="871">
      <c r="B871" s="50"/>
    </row>
    <row r="872">
      <c r="B872" s="50"/>
    </row>
    <row r="873">
      <c r="B873" s="50"/>
    </row>
    <row r="874">
      <c r="B874" s="50"/>
    </row>
    <row r="875">
      <c r="B875" s="50"/>
    </row>
    <row r="876">
      <c r="B876" s="50"/>
    </row>
    <row r="877">
      <c r="B877" s="50"/>
    </row>
    <row r="878">
      <c r="B878" s="50"/>
    </row>
    <row r="879">
      <c r="B879" s="50"/>
    </row>
    <row r="880">
      <c r="B880" s="50"/>
    </row>
    <row r="881">
      <c r="B881" s="50"/>
    </row>
    <row r="882">
      <c r="B882" s="50"/>
    </row>
    <row r="883">
      <c r="B883" s="50"/>
    </row>
    <row r="884">
      <c r="B884" s="50"/>
    </row>
    <row r="885">
      <c r="B885" s="50"/>
    </row>
    <row r="886">
      <c r="B886" s="50"/>
    </row>
    <row r="887">
      <c r="B887" s="50"/>
    </row>
    <row r="888">
      <c r="B888" s="50"/>
    </row>
    <row r="889">
      <c r="B889" s="50"/>
    </row>
    <row r="890">
      <c r="B890" s="50"/>
    </row>
    <row r="891">
      <c r="B891" s="50"/>
    </row>
    <row r="892">
      <c r="B892" s="50"/>
    </row>
    <row r="893">
      <c r="B893" s="50"/>
    </row>
    <row r="894">
      <c r="B894" s="50"/>
    </row>
    <row r="895">
      <c r="B895" s="50"/>
    </row>
    <row r="896">
      <c r="B896" s="50"/>
    </row>
    <row r="897">
      <c r="B897" s="50"/>
    </row>
    <row r="898">
      <c r="B898" s="50"/>
    </row>
    <row r="899">
      <c r="B899" s="50"/>
    </row>
    <row r="900">
      <c r="B900" s="50"/>
    </row>
    <row r="901">
      <c r="B901" s="50"/>
    </row>
    <row r="902">
      <c r="B902" s="50"/>
    </row>
    <row r="903">
      <c r="B903" s="50"/>
    </row>
    <row r="904">
      <c r="B904" s="50"/>
    </row>
    <row r="905">
      <c r="B905" s="50"/>
    </row>
    <row r="906">
      <c r="B906" s="50"/>
    </row>
    <row r="907">
      <c r="B907" s="50"/>
    </row>
    <row r="908">
      <c r="B908" s="50"/>
    </row>
    <row r="909">
      <c r="B909" s="50"/>
    </row>
    <row r="910">
      <c r="B910" s="50"/>
    </row>
    <row r="911">
      <c r="B911" s="50"/>
    </row>
    <row r="912">
      <c r="B912" s="50"/>
    </row>
    <row r="913">
      <c r="B913" s="50"/>
    </row>
    <row r="914">
      <c r="B914" s="50"/>
    </row>
    <row r="915">
      <c r="B915" s="50"/>
    </row>
    <row r="916">
      <c r="B916" s="50"/>
    </row>
    <row r="917">
      <c r="B917" s="50"/>
    </row>
    <row r="918">
      <c r="B918" s="50"/>
    </row>
    <row r="919">
      <c r="B919" s="50"/>
    </row>
    <row r="920">
      <c r="B920" s="50"/>
    </row>
    <row r="921">
      <c r="B921" s="50"/>
    </row>
    <row r="922">
      <c r="B922" s="50"/>
    </row>
    <row r="923">
      <c r="B923" s="50"/>
    </row>
    <row r="924">
      <c r="B924" s="50"/>
    </row>
    <row r="925">
      <c r="B925" s="50"/>
    </row>
    <row r="926">
      <c r="B926" s="50"/>
    </row>
    <row r="927">
      <c r="B927" s="50"/>
    </row>
    <row r="928">
      <c r="B928" s="50"/>
    </row>
    <row r="929">
      <c r="B929" s="50"/>
    </row>
    <row r="930">
      <c r="B930" s="50"/>
    </row>
    <row r="931">
      <c r="B931" s="50"/>
    </row>
    <row r="932">
      <c r="B932" s="50"/>
    </row>
    <row r="933">
      <c r="B933" s="50"/>
    </row>
    <row r="934">
      <c r="B934" s="50"/>
    </row>
    <row r="935">
      <c r="B935" s="50"/>
    </row>
    <row r="936">
      <c r="B936" s="50"/>
    </row>
    <row r="937">
      <c r="B937" s="50"/>
    </row>
    <row r="938">
      <c r="B938" s="50"/>
    </row>
    <row r="939">
      <c r="B939" s="50"/>
    </row>
    <row r="940">
      <c r="B940" s="50"/>
    </row>
    <row r="941">
      <c r="B941" s="50"/>
    </row>
    <row r="942">
      <c r="B942" s="50"/>
    </row>
    <row r="943">
      <c r="B943" s="50"/>
    </row>
    <row r="944">
      <c r="B944" s="50"/>
    </row>
    <row r="945">
      <c r="B945" s="50"/>
    </row>
    <row r="946">
      <c r="B946" s="50"/>
    </row>
    <row r="947">
      <c r="B947" s="50"/>
    </row>
    <row r="948">
      <c r="B948" s="50"/>
    </row>
    <row r="949">
      <c r="B949" s="50"/>
    </row>
    <row r="950">
      <c r="B950" s="50"/>
    </row>
    <row r="951">
      <c r="B951" s="50"/>
    </row>
    <row r="952">
      <c r="B952" s="50"/>
    </row>
    <row r="953">
      <c r="B953" s="50"/>
    </row>
    <row r="954">
      <c r="B954" s="50"/>
    </row>
    <row r="955">
      <c r="B955" s="50"/>
    </row>
    <row r="956">
      <c r="B956" s="50"/>
    </row>
    <row r="957">
      <c r="B957" s="50"/>
    </row>
    <row r="958">
      <c r="B958" s="50"/>
    </row>
    <row r="959">
      <c r="B959" s="50"/>
    </row>
    <row r="960">
      <c r="B960" s="50"/>
    </row>
    <row r="961">
      <c r="B961" s="50"/>
    </row>
    <row r="962">
      <c r="B962" s="50"/>
    </row>
    <row r="963">
      <c r="B963" s="50"/>
    </row>
    <row r="964">
      <c r="B964" s="50"/>
    </row>
    <row r="965">
      <c r="B965" s="50"/>
    </row>
    <row r="966">
      <c r="B966" s="50"/>
    </row>
    <row r="967">
      <c r="B967" s="50"/>
    </row>
    <row r="968">
      <c r="B968" s="50"/>
    </row>
    <row r="969">
      <c r="B969" s="50"/>
    </row>
    <row r="970">
      <c r="B970" s="50"/>
    </row>
    <row r="971">
      <c r="B971" s="50"/>
    </row>
    <row r="972">
      <c r="B972" s="50"/>
    </row>
    <row r="973">
      <c r="B973" s="50"/>
    </row>
    <row r="974">
      <c r="B974" s="50"/>
    </row>
    <row r="975">
      <c r="B975" s="50"/>
    </row>
    <row r="976">
      <c r="B976" s="50"/>
    </row>
    <row r="977">
      <c r="B977" s="50"/>
    </row>
    <row r="978">
      <c r="B978" s="50"/>
    </row>
    <row r="979">
      <c r="B979" s="50"/>
    </row>
    <row r="980">
      <c r="B980" s="50"/>
    </row>
    <row r="981">
      <c r="B981" s="50"/>
    </row>
    <row r="982">
      <c r="B982" s="50"/>
    </row>
    <row r="983">
      <c r="B983" s="50"/>
    </row>
    <row r="984">
      <c r="B984" s="50"/>
    </row>
    <row r="985">
      <c r="B985" s="50"/>
    </row>
    <row r="986">
      <c r="B986" s="50"/>
    </row>
    <row r="987">
      <c r="B987" s="50"/>
    </row>
    <row r="988">
      <c r="B988" s="50"/>
    </row>
    <row r="989">
      <c r="B989" s="50"/>
    </row>
    <row r="990">
      <c r="B990" s="50"/>
    </row>
    <row r="991">
      <c r="B991" s="50"/>
    </row>
    <row r="992">
      <c r="B992" s="50"/>
    </row>
    <row r="993">
      <c r="B993" s="50"/>
    </row>
    <row r="994">
      <c r="B994" s="50"/>
    </row>
    <row r="995">
      <c r="B995" s="50"/>
    </row>
    <row r="996">
      <c r="B996" s="50"/>
    </row>
    <row r="997">
      <c r="B997" s="50"/>
    </row>
    <row r="998">
      <c r="B998" s="50"/>
    </row>
    <row r="999">
      <c r="B999" s="50"/>
    </row>
    <row r="1000">
      <c r="B1000" s="50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hidden="1" min="2" max="2" width="36.43"/>
    <col customWidth="1" min="4" max="11" width="19.14"/>
    <col customWidth="1" min="12" max="12" width="10.43"/>
    <col customWidth="1" min="13" max="13" width="11.43"/>
  </cols>
  <sheetData>
    <row r="1">
      <c r="A1" s="51"/>
      <c r="B1" s="51"/>
      <c r="C1" s="52"/>
      <c r="D1" s="52"/>
      <c r="E1" s="53" t="s">
        <v>110</v>
      </c>
      <c r="F1" s="53" t="s">
        <v>111</v>
      </c>
      <c r="G1" s="53" t="s">
        <v>110</v>
      </c>
      <c r="H1" s="53" t="s">
        <v>110</v>
      </c>
      <c r="I1" s="53" t="s">
        <v>111</v>
      </c>
      <c r="J1" s="53" t="s">
        <v>112</v>
      </c>
      <c r="K1" s="52"/>
      <c r="L1" s="54"/>
      <c r="M1" s="54"/>
      <c r="N1" s="54"/>
      <c r="O1" s="54"/>
      <c r="P1" s="54"/>
      <c r="Q1" s="54"/>
      <c r="R1" s="54"/>
      <c r="S1" s="54"/>
      <c r="T1" s="54"/>
      <c r="U1" s="54"/>
      <c r="V1" s="55"/>
      <c r="W1" s="55"/>
    </row>
    <row r="2">
      <c r="A2" s="51" t="s">
        <v>0</v>
      </c>
      <c r="B2" s="51"/>
      <c r="C2" s="52" t="s">
        <v>113</v>
      </c>
      <c r="D2" s="52" t="s">
        <v>114</v>
      </c>
      <c r="E2" s="53" t="s">
        <v>115</v>
      </c>
      <c r="F2" s="53" t="s">
        <v>116</v>
      </c>
      <c r="G2" s="53" t="s">
        <v>117</v>
      </c>
      <c r="H2" s="53" t="s">
        <v>118</v>
      </c>
      <c r="I2" s="53" t="s">
        <v>119</v>
      </c>
      <c r="J2" s="53" t="s">
        <v>120</v>
      </c>
      <c r="K2" s="52"/>
      <c r="L2" s="56" t="s">
        <v>121</v>
      </c>
      <c r="M2" s="56" t="s">
        <v>122</v>
      </c>
      <c r="N2" s="57" t="s">
        <v>123</v>
      </c>
      <c r="O2" s="57" t="s">
        <v>124</v>
      </c>
      <c r="P2" s="57" t="s">
        <v>125</v>
      </c>
      <c r="Q2" s="57" t="s">
        <v>126</v>
      </c>
      <c r="R2" s="57" t="s">
        <v>127</v>
      </c>
      <c r="S2" s="57" t="s">
        <v>128</v>
      </c>
      <c r="T2" s="57" t="s">
        <v>129</v>
      </c>
      <c r="U2" s="57" t="s">
        <v>130</v>
      </c>
      <c r="V2" s="55"/>
      <c r="W2" s="55"/>
    </row>
    <row r="3">
      <c r="A3" s="58">
        <f>Worksheet!A2</f>
        <v>20301033</v>
      </c>
      <c r="B3" s="58" t="str">
        <f>Worksheet!B2</f>
        <v>Amlan Dutta</v>
      </c>
      <c r="C3" s="33">
        <f t="shared" ref="C3:C38" si="1">SUM(E3:J3)</f>
        <v>13</v>
      </c>
      <c r="D3" s="33">
        <f t="shared" ref="D3:D38" si="2">roundup(SUM(E3:K3)/35*20,1)</f>
        <v>7.5</v>
      </c>
      <c r="E3" s="59">
        <v>6.0</v>
      </c>
      <c r="F3" s="59">
        <v>1.0</v>
      </c>
      <c r="H3" s="59">
        <v>3.0</v>
      </c>
      <c r="I3" s="59">
        <v>2.0</v>
      </c>
      <c r="J3" s="59">
        <v>1.0</v>
      </c>
      <c r="L3" s="60">
        <f t="shared" ref="L3:L38" si="3">SUM(N3:U3)</f>
        <v>25</v>
      </c>
      <c r="M3" s="60">
        <f t="shared" ref="M3:M38" si="4">roundup(L3/40*30,1)</f>
        <v>18.8</v>
      </c>
      <c r="N3" s="61">
        <v>5.0</v>
      </c>
      <c r="O3" s="61">
        <v>3.5</v>
      </c>
      <c r="P3" s="61">
        <v>1.0</v>
      </c>
      <c r="Q3" s="61">
        <v>0.0</v>
      </c>
      <c r="R3" s="61">
        <v>5.0</v>
      </c>
      <c r="S3" s="61">
        <v>1.5</v>
      </c>
      <c r="T3" s="61">
        <v>1.0</v>
      </c>
      <c r="U3" s="61">
        <v>8.0</v>
      </c>
    </row>
    <row r="4">
      <c r="A4" s="58">
        <f>Worksheet!A3</f>
        <v>22101425</v>
      </c>
      <c r="B4" s="58" t="str">
        <f>Worksheet!B3</f>
        <v>Khandokar Yusuf Khalid</v>
      </c>
      <c r="C4" s="33">
        <f t="shared" si="1"/>
        <v>6</v>
      </c>
      <c r="D4" s="33">
        <f t="shared" si="2"/>
        <v>3.5</v>
      </c>
      <c r="E4" s="59">
        <v>3.0</v>
      </c>
      <c r="H4" s="59">
        <v>1.0</v>
      </c>
      <c r="I4" s="59">
        <v>1.0</v>
      </c>
      <c r="J4" s="59">
        <v>1.0</v>
      </c>
      <c r="L4" s="60">
        <f t="shared" si="3"/>
        <v>24</v>
      </c>
      <c r="M4" s="60">
        <f t="shared" si="4"/>
        <v>18</v>
      </c>
      <c r="N4" s="62">
        <v>4.0</v>
      </c>
      <c r="O4" s="62">
        <v>3.0</v>
      </c>
      <c r="P4" s="62">
        <v>2.0</v>
      </c>
      <c r="Q4" s="62">
        <v>1.0</v>
      </c>
      <c r="R4" s="62">
        <v>2.0</v>
      </c>
      <c r="S4" s="62">
        <v>0.0</v>
      </c>
      <c r="T4" s="62">
        <v>2.0</v>
      </c>
      <c r="U4" s="59">
        <v>10.0</v>
      </c>
    </row>
    <row r="5">
      <c r="A5" s="58">
        <f>Worksheet!A4</f>
        <v>22101748</v>
      </c>
      <c r="B5" s="58" t="str">
        <f>Worksheet!B4</f>
        <v>Mst. Zubaida Haque Jetu</v>
      </c>
      <c r="C5" s="33">
        <f t="shared" si="1"/>
        <v>14.5</v>
      </c>
      <c r="D5" s="33">
        <f t="shared" si="2"/>
        <v>8.3</v>
      </c>
      <c r="E5" s="59">
        <v>5.5</v>
      </c>
      <c r="F5" s="59">
        <v>6.0</v>
      </c>
      <c r="H5" s="59">
        <v>2.0</v>
      </c>
      <c r="I5" s="59">
        <v>1.0</v>
      </c>
      <c r="L5" s="60">
        <f t="shared" si="3"/>
        <v>21.5</v>
      </c>
      <c r="M5" s="60">
        <f t="shared" si="4"/>
        <v>16.2</v>
      </c>
      <c r="N5" s="61">
        <v>3.0</v>
      </c>
      <c r="O5" s="61">
        <v>3.5</v>
      </c>
      <c r="P5" s="61">
        <v>2.0</v>
      </c>
      <c r="Q5" s="61">
        <v>1.0</v>
      </c>
      <c r="R5" s="61">
        <v>4.0</v>
      </c>
      <c r="S5" s="61">
        <v>2.0</v>
      </c>
      <c r="T5" s="61">
        <v>1.0</v>
      </c>
      <c r="U5" s="59">
        <v>5.0</v>
      </c>
    </row>
    <row r="6">
      <c r="A6" s="58">
        <f>Worksheet!A5</f>
        <v>22299296</v>
      </c>
      <c r="B6" s="58" t="str">
        <f>Worksheet!B5</f>
        <v>Raihan Karim</v>
      </c>
      <c r="C6" s="33">
        <f t="shared" si="1"/>
        <v>12.5</v>
      </c>
      <c r="D6" s="33">
        <f t="shared" si="2"/>
        <v>7.2</v>
      </c>
      <c r="E6" s="59">
        <v>3.0</v>
      </c>
      <c r="F6" s="59">
        <v>3.5</v>
      </c>
      <c r="I6" s="59">
        <v>3.0</v>
      </c>
      <c r="J6" s="59">
        <v>3.0</v>
      </c>
      <c r="L6" s="60">
        <f t="shared" si="3"/>
        <v>23</v>
      </c>
      <c r="M6" s="60">
        <f t="shared" si="4"/>
        <v>17.3</v>
      </c>
      <c r="N6" s="59">
        <v>9.0</v>
      </c>
      <c r="O6" s="59">
        <v>3.5</v>
      </c>
      <c r="P6" s="59">
        <v>2.0</v>
      </c>
      <c r="Q6" s="59">
        <v>1.0</v>
      </c>
      <c r="R6" s="59">
        <v>3.5</v>
      </c>
      <c r="S6" s="59">
        <v>2.0</v>
      </c>
      <c r="T6" s="59">
        <v>1.0</v>
      </c>
      <c r="U6" s="59">
        <v>1.0</v>
      </c>
    </row>
    <row r="7">
      <c r="A7" s="58">
        <f>Worksheet!A6</f>
        <v>23101075</v>
      </c>
      <c r="B7" s="58" t="str">
        <f>Worksheet!B6</f>
        <v>Abida Nowsheen</v>
      </c>
      <c r="C7" s="33">
        <f t="shared" si="1"/>
        <v>5</v>
      </c>
      <c r="D7" s="33">
        <f t="shared" si="2"/>
        <v>2.9</v>
      </c>
      <c r="E7" s="59">
        <v>3.0</v>
      </c>
      <c r="H7" s="59">
        <v>2.0</v>
      </c>
      <c r="L7" s="60">
        <f t="shared" si="3"/>
        <v>0</v>
      </c>
      <c r="M7" s="60">
        <f t="shared" si="4"/>
        <v>0</v>
      </c>
    </row>
    <row r="8">
      <c r="A8" s="58">
        <f>Worksheet!A7</f>
        <v>23101101</v>
      </c>
      <c r="B8" s="58" t="str">
        <f>Worksheet!B7</f>
        <v>Jubaida Jahan Prapti</v>
      </c>
      <c r="C8" s="33">
        <f t="shared" si="1"/>
        <v>7</v>
      </c>
      <c r="D8" s="33">
        <f t="shared" si="2"/>
        <v>4</v>
      </c>
      <c r="E8" s="59">
        <v>3.0</v>
      </c>
      <c r="F8" s="59">
        <v>2.0</v>
      </c>
      <c r="G8" s="59">
        <v>0.0</v>
      </c>
      <c r="H8" s="59">
        <v>2.0</v>
      </c>
      <c r="I8" s="59">
        <v>0.0</v>
      </c>
      <c r="J8" s="59">
        <v>0.0</v>
      </c>
      <c r="L8" s="60">
        <f t="shared" si="3"/>
        <v>0</v>
      </c>
      <c r="M8" s="60">
        <f t="shared" si="4"/>
        <v>0</v>
      </c>
    </row>
    <row r="9">
      <c r="A9" s="63">
        <f>Worksheet!A8</f>
        <v>23101271</v>
      </c>
      <c r="B9" s="63" t="str">
        <f>Worksheet!B8</f>
        <v>Sazid Chowdhury</v>
      </c>
      <c r="C9" s="64">
        <f t="shared" si="1"/>
        <v>4</v>
      </c>
      <c r="D9" s="33">
        <f t="shared" si="2"/>
        <v>2.3</v>
      </c>
      <c r="E9" s="65">
        <v>3.0</v>
      </c>
      <c r="F9" s="64"/>
      <c r="G9" s="65">
        <v>1.0</v>
      </c>
      <c r="H9" s="64"/>
      <c r="I9" s="64"/>
      <c r="J9" s="64"/>
      <c r="K9" s="64"/>
      <c r="L9" s="66">
        <f t="shared" si="3"/>
        <v>24.5</v>
      </c>
      <c r="M9" s="60">
        <f t="shared" si="4"/>
        <v>18.4</v>
      </c>
      <c r="N9" s="65">
        <v>7.0</v>
      </c>
      <c r="O9" s="65">
        <v>3.0</v>
      </c>
      <c r="P9" s="65">
        <v>0.0</v>
      </c>
      <c r="Q9" s="65">
        <v>0.0</v>
      </c>
      <c r="R9" s="65">
        <v>5.0</v>
      </c>
      <c r="S9" s="65">
        <v>3.0</v>
      </c>
      <c r="T9" s="65">
        <v>1.5</v>
      </c>
      <c r="U9" s="65">
        <v>5.0</v>
      </c>
    </row>
    <row r="10">
      <c r="A10" s="58">
        <f>Worksheet!A9</f>
        <v>23101378</v>
      </c>
      <c r="B10" s="58" t="str">
        <f>Worksheet!B9</f>
        <v>Sharif Al Rezoan</v>
      </c>
      <c r="C10" s="33">
        <f t="shared" si="1"/>
        <v>14.5</v>
      </c>
      <c r="D10" s="33">
        <f t="shared" si="2"/>
        <v>8.3</v>
      </c>
      <c r="E10" s="59">
        <v>0.5</v>
      </c>
      <c r="F10" s="59">
        <v>7.5</v>
      </c>
      <c r="G10" s="59">
        <v>1.0</v>
      </c>
      <c r="H10" s="59">
        <v>0.0</v>
      </c>
      <c r="I10" s="59">
        <v>2.5</v>
      </c>
      <c r="J10" s="59">
        <v>3.0</v>
      </c>
      <c r="L10" s="60">
        <f t="shared" si="3"/>
        <v>27</v>
      </c>
      <c r="M10" s="60">
        <f t="shared" si="4"/>
        <v>20.3</v>
      </c>
      <c r="N10" s="59">
        <v>6.0</v>
      </c>
      <c r="O10" s="59">
        <v>3.0</v>
      </c>
      <c r="P10" s="59">
        <v>0.0</v>
      </c>
      <c r="Q10" s="59">
        <v>0.0</v>
      </c>
      <c r="R10" s="59">
        <v>5.0</v>
      </c>
      <c r="S10" s="59">
        <v>3.0</v>
      </c>
      <c r="T10" s="59">
        <v>1.0</v>
      </c>
      <c r="U10" s="59">
        <v>9.0</v>
      </c>
    </row>
    <row r="11">
      <c r="A11" s="58">
        <f>Worksheet!A10</f>
        <v>23141047</v>
      </c>
      <c r="B11" s="58" t="str">
        <f>Worksheet!B10</f>
        <v>Mohammad Rashik Ruhullah Rafi</v>
      </c>
      <c r="C11" s="33">
        <f t="shared" si="1"/>
        <v>10</v>
      </c>
      <c r="D11" s="33">
        <f t="shared" si="2"/>
        <v>5.8</v>
      </c>
      <c r="E11" s="59">
        <v>3.0</v>
      </c>
      <c r="F11" s="59">
        <v>4.0</v>
      </c>
      <c r="I11" s="59">
        <v>1.0</v>
      </c>
      <c r="J11" s="59">
        <v>2.0</v>
      </c>
      <c r="L11" s="60">
        <f t="shared" si="3"/>
        <v>0</v>
      </c>
      <c r="M11" s="60">
        <f t="shared" si="4"/>
        <v>0</v>
      </c>
    </row>
    <row r="12">
      <c r="A12" s="58">
        <f>Worksheet!A11</f>
        <v>23201093</v>
      </c>
      <c r="B12" s="58" t="str">
        <f>Worksheet!B11</f>
        <v>S.A.Rahman</v>
      </c>
      <c r="C12" s="33">
        <f t="shared" si="1"/>
        <v>4</v>
      </c>
      <c r="D12" s="33">
        <f t="shared" si="2"/>
        <v>2.3</v>
      </c>
      <c r="E12" s="59">
        <v>0.0</v>
      </c>
      <c r="F12" s="59">
        <v>2.0</v>
      </c>
      <c r="H12" s="59">
        <v>1.0</v>
      </c>
      <c r="I12" s="59">
        <v>1.0</v>
      </c>
      <c r="L12" s="60">
        <f t="shared" si="3"/>
        <v>0</v>
      </c>
      <c r="M12" s="60">
        <f t="shared" si="4"/>
        <v>0</v>
      </c>
    </row>
    <row r="13">
      <c r="A13" s="58">
        <f>Worksheet!A12</f>
        <v>23201659</v>
      </c>
      <c r="B13" s="58" t="str">
        <f>Worksheet!B12</f>
        <v>Maisha Sanjida Akhi</v>
      </c>
      <c r="C13" s="33">
        <f t="shared" si="1"/>
        <v>0</v>
      </c>
      <c r="D13" s="33">
        <f t="shared" si="2"/>
        <v>0</v>
      </c>
      <c r="E13" s="59">
        <v>0.0</v>
      </c>
      <c r="L13" s="60">
        <f t="shared" si="3"/>
        <v>0</v>
      </c>
      <c r="M13" s="60">
        <f t="shared" si="4"/>
        <v>0</v>
      </c>
    </row>
    <row r="14">
      <c r="A14" s="58">
        <f>Worksheet!A13</f>
        <v>23301410</v>
      </c>
      <c r="B14" s="58" t="str">
        <f>Worksheet!B13</f>
        <v>Rafid Shahriar Auvro</v>
      </c>
      <c r="C14" s="33">
        <f t="shared" si="1"/>
        <v>16.5</v>
      </c>
      <c r="D14" s="33">
        <f t="shared" si="2"/>
        <v>9.5</v>
      </c>
      <c r="E14" s="59">
        <v>6.0</v>
      </c>
      <c r="F14" s="59">
        <v>6.0</v>
      </c>
      <c r="I14" s="59">
        <v>1.5</v>
      </c>
      <c r="J14" s="59">
        <v>3.0</v>
      </c>
      <c r="L14" s="60">
        <f t="shared" si="3"/>
        <v>0</v>
      </c>
      <c r="M14" s="60">
        <f t="shared" si="4"/>
        <v>0</v>
      </c>
    </row>
    <row r="15">
      <c r="A15" s="58">
        <f>Worksheet!A14</f>
        <v>23301602</v>
      </c>
      <c r="B15" s="58" t="str">
        <f>Worksheet!B14</f>
        <v>Farhan Anjum</v>
      </c>
      <c r="C15" s="33">
        <f t="shared" si="1"/>
        <v>11</v>
      </c>
      <c r="D15" s="33">
        <f t="shared" si="2"/>
        <v>6.3</v>
      </c>
      <c r="E15" s="59">
        <v>7.0</v>
      </c>
      <c r="F15" s="59">
        <v>3.0</v>
      </c>
      <c r="G15" s="59">
        <v>0.5</v>
      </c>
      <c r="H15" s="59">
        <v>0.5</v>
      </c>
      <c r="L15" s="60">
        <f t="shared" si="3"/>
        <v>0</v>
      </c>
      <c r="M15" s="60">
        <f t="shared" si="4"/>
        <v>0</v>
      </c>
    </row>
    <row r="16">
      <c r="A16" s="58">
        <f>Worksheet!A15</f>
        <v>24101390</v>
      </c>
      <c r="B16" s="58" t="str">
        <f>Worksheet!B15</f>
        <v>P. M. Mushfiqur Shium</v>
      </c>
      <c r="C16" s="33">
        <f t="shared" si="1"/>
        <v>24.5</v>
      </c>
      <c r="D16" s="33">
        <f t="shared" si="2"/>
        <v>14</v>
      </c>
      <c r="E16" s="59">
        <v>8.5</v>
      </c>
      <c r="F16" s="59">
        <v>7.5</v>
      </c>
      <c r="H16" s="59">
        <v>1.5</v>
      </c>
      <c r="I16" s="59">
        <v>4.0</v>
      </c>
      <c r="J16" s="59">
        <v>3.0</v>
      </c>
      <c r="L16" s="60">
        <f t="shared" si="3"/>
        <v>29.5</v>
      </c>
      <c r="M16" s="60">
        <f t="shared" si="4"/>
        <v>22.2</v>
      </c>
      <c r="N16" s="59">
        <v>9.0</v>
      </c>
      <c r="O16" s="59">
        <v>4.0</v>
      </c>
      <c r="P16" s="59">
        <v>0.0</v>
      </c>
      <c r="Q16" s="59">
        <v>2.0</v>
      </c>
      <c r="R16" s="59">
        <v>5.0</v>
      </c>
      <c r="S16" s="59">
        <v>1.0</v>
      </c>
      <c r="T16" s="59">
        <v>0.0</v>
      </c>
      <c r="U16" s="59">
        <v>8.5</v>
      </c>
    </row>
    <row r="17">
      <c r="A17" s="58">
        <f>Worksheet!A16</f>
        <v>24101392</v>
      </c>
      <c r="B17" s="58" t="str">
        <f>Worksheet!B16</f>
        <v>Fardin Islam</v>
      </c>
      <c r="C17" s="33">
        <f t="shared" si="1"/>
        <v>17</v>
      </c>
      <c r="D17" s="33">
        <f t="shared" si="2"/>
        <v>9.8</v>
      </c>
      <c r="E17" s="59">
        <v>7.0</v>
      </c>
      <c r="F17" s="59">
        <v>3.0</v>
      </c>
      <c r="H17" s="59">
        <v>1.0</v>
      </c>
      <c r="I17" s="59">
        <v>2.0</v>
      </c>
      <c r="J17" s="59">
        <v>4.0</v>
      </c>
      <c r="L17" s="60">
        <f t="shared" si="3"/>
        <v>32</v>
      </c>
      <c r="M17" s="60">
        <f t="shared" si="4"/>
        <v>24</v>
      </c>
      <c r="N17" s="59">
        <v>9.0</v>
      </c>
      <c r="O17" s="59">
        <v>4.5</v>
      </c>
      <c r="P17" s="59">
        <v>2.0</v>
      </c>
      <c r="Q17" s="59">
        <v>1.5</v>
      </c>
      <c r="R17" s="59">
        <v>5.0</v>
      </c>
      <c r="S17" s="59">
        <v>1.0</v>
      </c>
      <c r="T17" s="59">
        <v>2.0</v>
      </c>
      <c r="U17" s="59">
        <v>7.0</v>
      </c>
    </row>
    <row r="18">
      <c r="A18" s="58">
        <f>Worksheet!A17</f>
        <v>24101431</v>
      </c>
      <c r="B18" s="58" t="str">
        <f>Worksheet!B17</f>
        <v>Raheeb Al Zabir</v>
      </c>
      <c r="C18" s="33">
        <f t="shared" si="1"/>
        <v>12.5</v>
      </c>
      <c r="D18" s="33">
        <f t="shared" si="2"/>
        <v>7.2</v>
      </c>
      <c r="E18" s="59">
        <v>6.0</v>
      </c>
      <c r="F18" s="59">
        <v>4.0</v>
      </c>
      <c r="G18" s="59">
        <v>1.0</v>
      </c>
      <c r="H18" s="59">
        <v>1.5</v>
      </c>
      <c r="L18" s="60">
        <f t="shared" si="3"/>
        <v>27</v>
      </c>
      <c r="M18" s="60">
        <f t="shared" si="4"/>
        <v>20.3</v>
      </c>
      <c r="N18" s="59">
        <v>6.0</v>
      </c>
      <c r="O18" s="59">
        <v>5.0</v>
      </c>
      <c r="P18" s="59">
        <v>0.0</v>
      </c>
      <c r="Q18" s="59">
        <v>2.0</v>
      </c>
      <c r="R18" s="59">
        <v>4.0</v>
      </c>
      <c r="S18" s="59">
        <v>2.0</v>
      </c>
      <c r="T18" s="59">
        <v>1.0</v>
      </c>
      <c r="U18" s="59">
        <v>7.0</v>
      </c>
    </row>
    <row r="19">
      <c r="A19" s="58">
        <f>Worksheet!A18</f>
        <v>24101442</v>
      </c>
      <c r="B19" s="58" t="str">
        <f>Worksheet!B18</f>
        <v>Abdullah Al Noman</v>
      </c>
      <c r="C19" s="33">
        <f t="shared" si="1"/>
        <v>18.5</v>
      </c>
      <c r="D19" s="33">
        <f t="shared" si="2"/>
        <v>10.6</v>
      </c>
      <c r="E19" s="59">
        <v>6.0</v>
      </c>
      <c r="F19" s="59">
        <v>4.0</v>
      </c>
      <c r="G19" s="59">
        <v>0.5</v>
      </c>
      <c r="H19" s="59">
        <v>1.0</v>
      </c>
      <c r="I19" s="59">
        <v>4.0</v>
      </c>
      <c r="J19" s="59">
        <v>3.0</v>
      </c>
      <c r="L19" s="60">
        <f t="shared" si="3"/>
        <v>29</v>
      </c>
      <c r="M19" s="60">
        <f t="shared" si="4"/>
        <v>21.8</v>
      </c>
      <c r="N19" s="59">
        <v>9.0</v>
      </c>
      <c r="O19" s="59">
        <v>3.0</v>
      </c>
      <c r="P19" s="59">
        <v>0.0</v>
      </c>
      <c r="Q19" s="59">
        <v>0.0</v>
      </c>
      <c r="R19" s="59">
        <v>5.0</v>
      </c>
      <c r="S19" s="59">
        <v>3.0</v>
      </c>
      <c r="T19" s="59">
        <v>2.0</v>
      </c>
      <c r="U19" s="59">
        <v>7.0</v>
      </c>
    </row>
    <row r="20">
      <c r="A20" s="58">
        <f>Worksheet!A19</f>
        <v>24121353</v>
      </c>
      <c r="B20" s="58" t="str">
        <f>Worksheet!B19</f>
        <v>Ayatullah Osama Khan</v>
      </c>
      <c r="C20" s="33">
        <f t="shared" si="1"/>
        <v>12.5</v>
      </c>
      <c r="D20" s="33">
        <f t="shared" si="2"/>
        <v>7.2</v>
      </c>
      <c r="E20" s="59">
        <v>6.0</v>
      </c>
      <c r="F20" s="59">
        <v>4.0</v>
      </c>
      <c r="G20" s="59">
        <v>0.5</v>
      </c>
      <c r="H20" s="59">
        <v>1.0</v>
      </c>
      <c r="I20" s="59">
        <v>1.0</v>
      </c>
      <c r="L20" s="60">
        <f t="shared" si="3"/>
        <v>27</v>
      </c>
      <c r="M20" s="60">
        <f t="shared" si="4"/>
        <v>20.3</v>
      </c>
      <c r="N20" s="59">
        <v>7.0</v>
      </c>
      <c r="O20" s="59">
        <v>2.0</v>
      </c>
      <c r="P20" s="59">
        <v>1.0</v>
      </c>
      <c r="Q20" s="59">
        <v>0.0</v>
      </c>
      <c r="R20" s="59">
        <v>4.0</v>
      </c>
      <c r="S20" s="59">
        <v>2.0</v>
      </c>
      <c r="T20" s="59">
        <v>1.0</v>
      </c>
      <c r="U20" s="59">
        <v>10.0</v>
      </c>
    </row>
    <row r="21">
      <c r="A21" s="58">
        <f>Worksheet!A20</f>
        <v>24141008</v>
      </c>
      <c r="B21" s="58" t="str">
        <f>Worksheet!B20</f>
        <v>Ashvin Al Afroz</v>
      </c>
      <c r="C21" s="33">
        <f t="shared" si="1"/>
        <v>26.5</v>
      </c>
      <c r="D21" s="33">
        <f t="shared" si="2"/>
        <v>15.2</v>
      </c>
      <c r="E21" s="59">
        <v>6.0</v>
      </c>
      <c r="F21" s="59">
        <v>8.0</v>
      </c>
      <c r="G21" s="59">
        <v>0.5</v>
      </c>
      <c r="H21" s="59">
        <v>5.0</v>
      </c>
      <c r="I21" s="59">
        <v>4.0</v>
      </c>
      <c r="J21" s="59">
        <v>3.0</v>
      </c>
      <c r="L21" s="60">
        <f t="shared" si="3"/>
        <v>0</v>
      </c>
      <c r="M21" s="60">
        <f t="shared" si="4"/>
        <v>0</v>
      </c>
    </row>
    <row r="22">
      <c r="A22" s="58">
        <f>Worksheet!A21</f>
        <v>24141155</v>
      </c>
      <c r="B22" s="58" t="str">
        <f>Worksheet!B21</f>
        <v>Md. Abrar Mahib Pritom</v>
      </c>
      <c r="C22" s="33">
        <f t="shared" si="1"/>
        <v>10</v>
      </c>
      <c r="D22" s="33">
        <f t="shared" si="2"/>
        <v>5.8</v>
      </c>
      <c r="E22" s="59">
        <v>3.0</v>
      </c>
      <c r="F22" s="59">
        <v>2.0</v>
      </c>
      <c r="G22" s="59">
        <v>0.0</v>
      </c>
      <c r="H22" s="59">
        <v>3.0</v>
      </c>
      <c r="I22" s="59">
        <v>2.0</v>
      </c>
      <c r="J22" s="59">
        <v>0.0</v>
      </c>
      <c r="L22" s="60">
        <f t="shared" si="3"/>
        <v>0</v>
      </c>
      <c r="M22" s="60">
        <f t="shared" si="4"/>
        <v>0</v>
      </c>
    </row>
    <row r="23">
      <c r="A23" s="58">
        <f>Worksheet!A22</f>
        <v>24201090</v>
      </c>
      <c r="B23" s="58" t="str">
        <f>Worksheet!B22</f>
        <v>Nafis As - Sami</v>
      </c>
      <c r="C23" s="33">
        <f t="shared" si="1"/>
        <v>28.5</v>
      </c>
      <c r="D23" s="33">
        <f t="shared" si="2"/>
        <v>16.3</v>
      </c>
      <c r="E23" s="59">
        <v>8.5</v>
      </c>
      <c r="F23" s="59">
        <v>8.0</v>
      </c>
      <c r="G23" s="59">
        <v>0.5</v>
      </c>
      <c r="H23" s="59">
        <v>4.0</v>
      </c>
      <c r="I23" s="59">
        <v>3.5</v>
      </c>
      <c r="J23" s="59">
        <v>4.0</v>
      </c>
      <c r="L23" s="60">
        <f t="shared" si="3"/>
        <v>35</v>
      </c>
      <c r="M23" s="60">
        <f t="shared" si="4"/>
        <v>26.3</v>
      </c>
      <c r="N23" s="59">
        <v>9.0</v>
      </c>
      <c r="O23" s="59">
        <v>4.0</v>
      </c>
      <c r="P23" s="59">
        <v>1.0</v>
      </c>
      <c r="Q23" s="59">
        <v>2.0</v>
      </c>
      <c r="R23" s="59">
        <v>5.0</v>
      </c>
      <c r="S23" s="59">
        <v>2.0</v>
      </c>
      <c r="T23" s="59">
        <v>2.0</v>
      </c>
      <c r="U23" s="59">
        <v>10.0</v>
      </c>
    </row>
    <row r="24">
      <c r="A24" s="58">
        <f>Worksheet!A23</f>
        <v>24201165</v>
      </c>
      <c r="B24" s="58" t="str">
        <f>Worksheet!B23</f>
        <v>Jahareen Tasmeem</v>
      </c>
      <c r="C24" s="33">
        <f t="shared" si="1"/>
        <v>26</v>
      </c>
      <c r="D24" s="33">
        <f t="shared" si="2"/>
        <v>14.9</v>
      </c>
      <c r="E24" s="59">
        <v>9.0</v>
      </c>
      <c r="F24" s="59">
        <v>7.0</v>
      </c>
      <c r="H24" s="59">
        <v>2.0</v>
      </c>
      <c r="I24" s="59">
        <v>4.0</v>
      </c>
      <c r="J24" s="59">
        <v>4.0</v>
      </c>
      <c r="L24" s="60">
        <f t="shared" si="3"/>
        <v>32.5</v>
      </c>
      <c r="M24" s="60">
        <f t="shared" si="4"/>
        <v>24.4</v>
      </c>
      <c r="N24" s="59">
        <v>7.0</v>
      </c>
      <c r="O24" s="59">
        <v>3.5</v>
      </c>
      <c r="P24" s="59">
        <v>1.0</v>
      </c>
      <c r="Q24" s="59">
        <v>1.0</v>
      </c>
      <c r="R24" s="59">
        <v>5.0</v>
      </c>
      <c r="S24" s="59">
        <v>3.0</v>
      </c>
      <c r="T24" s="59">
        <v>2.0</v>
      </c>
      <c r="U24" s="59">
        <v>10.0</v>
      </c>
    </row>
    <row r="25">
      <c r="A25" s="58">
        <f>Worksheet!A24</f>
        <v>24201176</v>
      </c>
      <c r="B25" s="58" t="str">
        <f>Worksheet!B24</f>
        <v>Maheer Tajwar</v>
      </c>
      <c r="C25" s="33">
        <f t="shared" si="1"/>
        <v>29</v>
      </c>
      <c r="D25" s="33">
        <f t="shared" si="2"/>
        <v>16.6</v>
      </c>
      <c r="E25" s="59">
        <v>10.0</v>
      </c>
      <c r="F25" s="59">
        <v>7.0</v>
      </c>
      <c r="G25" s="59">
        <v>0.5</v>
      </c>
      <c r="H25" s="59">
        <v>3.5</v>
      </c>
      <c r="I25" s="59">
        <v>4.0</v>
      </c>
      <c r="J25" s="59">
        <v>4.0</v>
      </c>
      <c r="L25" s="60">
        <f t="shared" si="3"/>
        <v>33.5</v>
      </c>
      <c r="M25" s="60">
        <f t="shared" si="4"/>
        <v>25.2</v>
      </c>
      <c r="N25" s="59">
        <v>10.0</v>
      </c>
      <c r="O25" s="59">
        <v>6.0</v>
      </c>
      <c r="P25" s="59">
        <v>2.0</v>
      </c>
      <c r="Q25" s="59">
        <v>2.0</v>
      </c>
      <c r="R25" s="59">
        <v>4.0</v>
      </c>
      <c r="S25" s="59">
        <v>1.5</v>
      </c>
      <c r="T25" s="59">
        <v>1.0</v>
      </c>
      <c r="U25" s="59">
        <v>7.0</v>
      </c>
    </row>
    <row r="26">
      <c r="A26" s="58">
        <f>Worksheet!A25</f>
        <v>24201193</v>
      </c>
      <c r="B26" s="58" t="str">
        <f>Worksheet!B25</f>
        <v>Md.Fardin Islam</v>
      </c>
      <c r="C26" s="33">
        <f t="shared" si="1"/>
        <v>24.5</v>
      </c>
      <c r="D26" s="33">
        <f t="shared" si="2"/>
        <v>14</v>
      </c>
      <c r="E26" s="59">
        <v>5.0</v>
      </c>
      <c r="F26" s="59">
        <v>6.0</v>
      </c>
      <c r="G26" s="59">
        <v>0.5</v>
      </c>
      <c r="H26" s="59">
        <v>4.0</v>
      </c>
      <c r="I26" s="59">
        <v>4.0</v>
      </c>
      <c r="J26" s="59">
        <v>5.0</v>
      </c>
      <c r="L26" s="60">
        <f t="shared" si="3"/>
        <v>34</v>
      </c>
      <c r="M26" s="60">
        <f t="shared" si="4"/>
        <v>25.5</v>
      </c>
      <c r="N26" s="59">
        <v>9.0</v>
      </c>
      <c r="O26" s="59">
        <v>4.0</v>
      </c>
      <c r="P26" s="59">
        <v>2.0</v>
      </c>
      <c r="Q26" s="59">
        <v>1.0</v>
      </c>
      <c r="R26" s="59">
        <v>4.0</v>
      </c>
      <c r="S26" s="59">
        <v>2.0</v>
      </c>
      <c r="T26" s="59">
        <v>2.0</v>
      </c>
      <c r="U26" s="59">
        <v>10.0</v>
      </c>
    </row>
    <row r="27">
      <c r="A27" s="58">
        <f>Worksheet!A26</f>
        <v>24201199</v>
      </c>
      <c r="B27" s="58" t="str">
        <f>Worksheet!B26</f>
        <v>Faiyaz Rahman</v>
      </c>
      <c r="C27" s="33">
        <f t="shared" si="1"/>
        <v>23.5</v>
      </c>
      <c r="D27" s="33">
        <f t="shared" si="2"/>
        <v>13.5</v>
      </c>
      <c r="E27" s="59">
        <v>7.0</v>
      </c>
      <c r="F27" s="59">
        <v>6.0</v>
      </c>
      <c r="G27" s="59">
        <v>0.0</v>
      </c>
      <c r="H27" s="59">
        <v>4.0</v>
      </c>
      <c r="I27" s="59">
        <v>2.5</v>
      </c>
      <c r="J27" s="59">
        <v>4.0</v>
      </c>
      <c r="L27" s="60">
        <f t="shared" si="3"/>
        <v>38</v>
      </c>
      <c r="M27" s="60">
        <f t="shared" si="4"/>
        <v>28.5</v>
      </c>
      <c r="N27" s="59">
        <v>10.0</v>
      </c>
      <c r="O27" s="59">
        <v>5.0</v>
      </c>
      <c r="P27" s="59">
        <v>2.0</v>
      </c>
      <c r="Q27" s="59">
        <v>2.0</v>
      </c>
      <c r="R27" s="59">
        <v>5.0</v>
      </c>
      <c r="S27" s="59">
        <v>3.0</v>
      </c>
      <c r="T27" s="59">
        <v>1.0</v>
      </c>
      <c r="U27" s="59">
        <v>10.0</v>
      </c>
    </row>
    <row r="28">
      <c r="A28" s="58">
        <f>Worksheet!A27</f>
        <v>24201453</v>
      </c>
      <c r="B28" s="58" t="str">
        <f>Worksheet!B27</f>
        <v>Md. Zayed Khan</v>
      </c>
      <c r="C28" s="33">
        <f t="shared" si="1"/>
        <v>18.5</v>
      </c>
      <c r="D28" s="33">
        <f t="shared" si="2"/>
        <v>10.6</v>
      </c>
      <c r="E28" s="59">
        <v>7.0</v>
      </c>
      <c r="F28" s="59">
        <v>3.5</v>
      </c>
      <c r="G28" s="59">
        <v>0.0</v>
      </c>
      <c r="H28" s="59">
        <v>2.0</v>
      </c>
      <c r="I28" s="59">
        <v>2.0</v>
      </c>
      <c r="J28" s="59">
        <v>4.0</v>
      </c>
      <c r="L28" s="60">
        <f t="shared" si="3"/>
        <v>23.5</v>
      </c>
      <c r="M28" s="60">
        <f t="shared" si="4"/>
        <v>17.7</v>
      </c>
      <c r="N28" s="59">
        <v>6.0</v>
      </c>
      <c r="O28" s="59">
        <v>5.0</v>
      </c>
      <c r="P28" s="59">
        <v>0.0</v>
      </c>
      <c r="Q28" s="59">
        <v>0.0</v>
      </c>
      <c r="R28" s="59">
        <v>4.0</v>
      </c>
      <c r="S28" s="59">
        <v>2.0</v>
      </c>
      <c r="T28" s="59">
        <v>0.0</v>
      </c>
      <c r="U28" s="59">
        <v>6.5</v>
      </c>
    </row>
    <row r="29">
      <c r="A29" s="58">
        <f>Worksheet!A28</f>
        <v>24201455</v>
      </c>
      <c r="B29" s="58" t="str">
        <f>Worksheet!B28</f>
        <v>Hossain Tasnim Rumki</v>
      </c>
      <c r="C29" s="33">
        <f t="shared" si="1"/>
        <v>25</v>
      </c>
      <c r="D29" s="33">
        <f t="shared" si="2"/>
        <v>14.3</v>
      </c>
      <c r="E29" s="59">
        <v>6.0</v>
      </c>
      <c r="F29" s="59">
        <v>7.0</v>
      </c>
      <c r="G29" s="59">
        <v>1.0</v>
      </c>
      <c r="H29" s="59">
        <v>4.0</v>
      </c>
      <c r="I29" s="59">
        <v>4.0</v>
      </c>
      <c r="J29" s="59">
        <v>3.0</v>
      </c>
      <c r="L29" s="60">
        <f t="shared" si="3"/>
        <v>35</v>
      </c>
      <c r="M29" s="60">
        <f t="shared" si="4"/>
        <v>26.3</v>
      </c>
      <c r="N29" s="59">
        <v>10.0</v>
      </c>
      <c r="O29" s="59">
        <v>4.0</v>
      </c>
      <c r="P29" s="59">
        <v>2.0</v>
      </c>
      <c r="Q29" s="59">
        <v>1.0</v>
      </c>
      <c r="R29" s="59">
        <v>4.0</v>
      </c>
      <c r="S29" s="59">
        <v>3.0</v>
      </c>
      <c r="T29" s="59">
        <v>2.0</v>
      </c>
      <c r="U29" s="59">
        <v>9.0</v>
      </c>
    </row>
    <row r="30">
      <c r="A30" s="58">
        <f>Worksheet!A29</f>
        <v>24204199</v>
      </c>
      <c r="B30" s="58" t="str">
        <f>Worksheet!B29</f>
        <v>Abdul Mumit Bin Jafor</v>
      </c>
      <c r="C30" s="33">
        <f t="shared" si="1"/>
        <v>18.5</v>
      </c>
      <c r="D30" s="33">
        <f t="shared" si="2"/>
        <v>10.6</v>
      </c>
      <c r="E30" s="59">
        <v>5.0</v>
      </c>
      <c r="F30" s="59">
        <v>4.5</v>
      </c>
      <c r="G30" s="67"/>
      <c r="H30" s="59">
        <v>1.0</v>
      </c>
      <c r="I30" s="59">
        <v>4.0</v>
      </c>
      <c r="J30" s="59">
        <v>4.0</v>
      </c>
      <c r="L30" s="60">
        <f t="shared" si="3"/>
        <v>21.5</v>
      </c>
      <c r="M30" s="60">
        <f t="shared" si="4"/>
        <v>16.2</v>
      </c>
      <c r="N30" s="59">
        <v>7.0</v>
      </c>
      <c r="O30" s="59">
        <v>3.0</v>
      </c>
      <c r="P30" s="59">
        <v>1.0</v>
      </c>
      <c r="Q30" s="59">
        <v>2.0</v>
      </c>
      <c r="R30" s="59">
        <v>3.5</v>
      </c>
      <c r="S30" s="59">
        <v>2.0</v>
      </c>
      <c r="T30" s="59">
        <v>1.0</v>
      </c>
      <c r="U30" s="59">
        <v>2.0</v>
      </c>
    </row>
    <row r="31">
      <c r="A31" s="58">
        <f>Worksheet!A30</f>
        <v>24301002</v>
      </c>
      <c r="B31" s="58" t="str">
        <f>Worksheet!B30</f>
        <v>Wamiza Mehjabin</v>
      </c>
      <c r="C31" s="33">
        <f t="shared" si="1"/>
        <v>15</v>
      </c>
      <c r="D31" s="33">
        <f t="shared" si="2"/>
        <v>8.6</v>
      </c>
      <c r="E31" s="59">
        <v>6.0</v>
      </c>
      <c r="F31" s="59">
        <v>4.0</v>
      </c>
      <c r="H31" s="59">
        <v>2.0</v>
      </c>
      <c r="I31" s="59">
        <v>1.0</v>
      </c>
      <c r="J31" s="59">
        <v>2.0</v>
      </c>
      <c r="L31" s="60">
        <f t="shared" si="3"/>
        <v>0</v>
      </c>
      <c r="M31" s="60">
        <f t="shared" si="4"/>
        <v>0</v>
      </c>
    </row>
    <row r="32">
      <c r="A32" s="58">
        <f>Worksheet!A31</f>
        <v>24301003</v>
      </c>
      <c r="B32" s="58" t="str">
        <f>Worksheet!B31</f>
        <v>Shahir Sharaf Chowdhury</v>
      </c>
      <c r="C32" s="33">
        <f t="shared" si="1"/>
        <v>0</v>
      </c>
      <c r="D32" s="33">
        <f t="shared" si="2"/>
        <v>0</v>
      </c>
      <c r="E32" s="59">
        <v>0.0</v>
      </c>
      <c r="F32" s="59">
        <v>0.0</v>
      </c>
      <c r="G32" s="59">
        <v>0.0</v>
      </c>
      <c r="I32" s="59">
        <v>0.0</v>
      </c>
      <c r="J32" s="59">
        <v>0.0</v>
      </c>
      <c r="L32" s="60">
        <f t="shared" si="3"/>
        <v>4</v>
      </c>
      <c r="M32" s="60">
        <f t="shared" si="4"/>
        <v>3</v>
      </c>
      <c r="N32" s="59">
        <v>0.0</v>
      </c>
      <c r="O32" s="59">
        <v>2.0</v>
      </c>
      <c r="P32" s="59">
        <v>1.0</v>
      </c>
      <c r="Q32" s="59">
        <v>0.0</v>
      </c>
      <c r="R32" s="59">
        <v>1.0</v>
      </c>
      <c r="S32" s="59">
        <v>0.0</v>
      </c>
      <c r="T32" s="59">
        <v>0.0</v>
      </c>
      <c r="U32" s="59">
        <v>0.0</v>
      </c>
    </row>
    <row r="33">
      <c r="A33" s="58">
        <f>Worksheet!A32</f>
        <v>24301116</v>
      </c>
      <c r="B33" s="58" t="str">
        <f>Worksheet!B32</f>
        <v>Mahajabin Islam</v>
      </c>
      <c r="C33" s="33">
        <f t="shared" si="1"/>
        <v>20.5</v>
      </c>
      <c r="D33" s="33">
        <f t="shared" si="2"/>
        <v>11.8</v>
      </c>
      <c r="E33" s="59">
        <v>9.5</v>
      </c>
      <c r="F33" s="59">
        <v>2.5</v>
      </c>
      <c r="H33" s="59">
        <v>1.0</v>
      </c>
      <c r="I33" s="59">
        <v>3.5</v>
      </c>
      <c r="J33" s="59">
        <v>4.0</v>
      </c>
      <c r="L33" s="60">
        <f t="shared" si="3"/>
        <v>31</v>
      </c>
      <c r="M33" s="60">
        <f t="shared" si="4"/>
        <v>23.3</v>
      </c>
      <c r="N33" s="59">
        <v>8.0</v>
      </c>
      <c r="O33" s="59">
        <v>4.0</v>
      </c>
      <c r="P33" s="59">
        <v>2.0</v>
      </c>
      <c r="Q33" s="59">
        <v>1.0</v>
      </c>
      <c r="R33" s="59">
        <v>3.5</v>
      </c>
      <c r="S33" s="59">
        <v>1.5</v>
      </c>
      <c r="T33" s="59">
        <v>2.0</v>
      </c>
      <c r="U33" s="59">
        <v>9.0</v>
      </c>
    </row>
    <row r="34">
      <c r="A34" s="58">
        <f>Worksheet!A33</f>
        <v>24301173</v>
      </c>
      <c r="B34" s="58" t="str">
        <f>Worksheet!B33</f>
        <v>Shahida Rahman</v>
      </c>
      <c r="C34" s="33">
        <f t="shared" si="1"/>
        <v>19.5</v>
      </c>
      <c r="D34" s="33">
        <f t="shared" si="2"/>
        <v>11.2</v>
      </c>
      <c r="E34" s="59">
        <v>7.0</v>
      </c>
      <c r="F34" s="59">
        <v>5.0</v>
      </c>
      <c r="G34" s="59">
        <v>0.5</v>
      </c>
      <c r="H34" s="59">
        <v>1.0</v>
      </c>
      <c r="I34" s="59">
        <v>3.0</v>
      </c>
      <c r="J34" s="59">
        <v>3.0</v>
      </c>
      <c r="L34" s="60">
        <f t="shared" si="3"/>
        <v>31</v>
      </c>
      <c r="M34" s="60">
        <f t="shared" si="4"/>
        <v>23.3</v>
      </c>
      <c r="N34" s="59">
        <v>9.0</v>
      </c>
      <c r="O34" s="59">
        <v>4.5</v>
      </c>
      <c r="P34" s="59">
        <v>1.0</v>
      </c>
      <c r="Q34" s="59">
        <v>1.0</v>
      </c>
      <c r="R34" s="59">
        <v>5.0</v>
      </c>
      <c r="S34" s="59">
        <v>2.0</v>
      </c>
      <c r="T34" s="59">
        <v>0.0</v>
      </c>
      <c r="U34" s="59">
        <v>8.5</v>
      </c>
    </row>
    <row r="35">
      <c r="A35" s="58">
        <f>Worksheet!A34</f>
        <v>24301197</v>
      </c>
      <c r="B35" s="58" t="str">
        <f>Worksheet!B34</f>
        <v>Samin Yasar Nafi</v>
      </c>
      <c r="C35" s="33">
        <f t="shared" si="1"/>
        <v>14</v>
      </c>
      <c r="D35" s="33">
        <f t="shared" si="2"/>
        <v>8</v>
      </c>
      <c r="E35" s="59">
        <v>2.0</v>
      </c>
      <c r="F35" s="59">
        <v>5.0</v>
      </c>
      <c r="I35" s="59">
        <v>4.0</v>
      </c>
      <c r="J35" s="59">
        <v>3.0</v>
      </c>
      <c r="L35" s="60">
        <f t="shared" si="3"/>
        <v>0</v>
      </c>
      <c r="M35" s="60">
        <f t="shared" si="4"/>
        <v>0</v>
      </c>
    </row>
    <row r="36">
      <c r="A36" s="58">
        <f>Worksheet!A35</f>
        <v>24301282</v>
      </c>
      <c r="B36" s="58" t="str">
        <f>Worksheet!B35</f>
        <v>Samin Nuzaima</v>
      </c>
      <c r="C36" s="33">
        <f t="shared" si="1"/>
        <v>16.5</v>
      </c>
      <c r="D36" s="33">
        <f t="shared" si="2"/>
        <v>9.5</v>
      </c>
      <c r="E36" s="59">
        <v>4.0</v>
      </c>
      <c r="F36" s="59">
        <v>5.0</v>
      </c>
      <c r="G36" s="59">
        <v>0.5</v>
      </c>
      <c r="H36" s="59">
        <v>1.0</v>
      </c>
      <c r="I36" s="59">
        <v>4.0</v>
      </c>
      <c r="J36" s="59">
        <v>2.0</v>
      </c>
      <c r="L36" s="60">
        <f t="shared" si="3"/>
        <v>26</v>
      </c>
      <c r="M36" s="60">
        <f t="shared" si="4"/>
        <v>19.5</v>
      </c>
      <c r="N36" s="59">
        <v>7.0</v>
      </c>
      <c r="O36" s="59">
        <v>4.0</v>
      </c>
      <c r="P36" s="59">
        <v>0.0</v>
      </c>
      <c r="Q36" s="59">
        <v>2.0</v>
      </c>
      <c r="R36" s="59">
        <v>4.0</v>
      </c>
      <c r="S36" s="59">
        <v>1.0</v>
      </c>
      <c r="T36" s="59">
        <v>0.0</v>
      </c>
      <c r="U36" s="59">
        <v>8.0</v>
      </c>
    </row>
    <row r="37">
      <c r="A37" s="58">
        <f>Worksheet!A36</f>
        <v>24321232</v>
      </c>
      <c r="B37" s="58" t="str">
        <f>Worksheet!B36</f>
        <v>Kazi Yasin Hridoy</v>
      </c>
      <c r="C37" s="33">
        <f t="shared" si="1"/>
        <v>10.5</v>
      </c>
      <c r="D37" s="33">
        <f t="shared" si="2"/>
        <v>6</v>
      </c>
      <c r="E37" s="61">
        <v>2.5</v>
      </c>
      <c r="F37" s="61">
        <v>6.5</v>
      </c>
      <c r="G37" s="68"/>
      <c r="H37" s="61"/>
      <c r="I37" s="68">
        <v>1.5</v>
      </c>
      <c r="J37" s="61"/>
      <c r="L37" s="60">
        <f t="shared" si="3"/>
        <v>30</v>
      </c>
      <c r="M37" s="60">
        <f t="shared" si="4"/>
        <v>22.5</v>
      </c>
      <c r="N37" s="59">
        <v>8.0</v>
      </c>
      <c r="O37" s="59">
        <v>5.0</v>
      </c>
      <c r="P37" s="59">
        <v>2.0</v>
      </c>
      <c r="Q37" s="59">
        <v>0.0</v>
      </c>
      <c r="R37" s="59">
        <v>4.0</v>
      </c>
      <c r="S37" s="59">
        <v>1.5</v>
      </c>
      <c r="T37" s="59">
        <v>1.0</v>
      </c>
      <c r="U37" s="59">
        <v>8.5</v>
      </c>
    </row>
    <row r="38">
      <c r="A38" s="58">
        <f>Worksheet!A37</f>
        <v>24321234</v>
      </c>
      <c r="B38" s="69" t="str">
        <f>Worksheet!B37</f>
        <v>Al Jayed Rup</v>
      </c>
      <c r="C38" s="33">
        <f t="shared" si="1"/>
        <v>22.5</v>
      </c>
      <c r="D38" s="33">
        <f t="shared" si="2"/>
        <v>12.9</v>
      </c>
      <c r="E38" s="59">
        <v>7.0</v>
      </c>
      <c r="F38" s="59">
        <v>5.5</v>
      </c>
      <c r="H38" s="59">
        <v>2.0</v>
      </c>
      <c r="I38" s="59">
        <v>4.0</v>
      </c>
      <c r="J38" s="59">
        <v>4.0</v>
      </c>
      <c r="L38" s="60">
        <f t="shared" si="3"/>
        <v>31</v>
      </c>
      <c r="M38" s="60">
        <f t="shared" si="4"/>
        <v>23.3</v>
      </c>
      <c r="N38" s="59">
        <v>7.0</v>
      </c>
      <c r="O38" s="59">
        <v>5.0</v>
      </c>
      <c r="P38" s="59">
        <v>1.0</v>
      </c>
      <c r="Q38" s="59">
        <v>1.0</v>
      </c>
      <c r="R38" s="59">
        <v>4.0</v>
      </c>
      <c r="S38" s="59">
        <v>3.0</v>
      </c>
      <c r="T38" s="59">
        <v>1.0</v>
      </c>
      <c r="U38" s="59">
        <v>9.0</v>
      </c>
    </row>
    <row r="39">
      <c r="C39" s="33">
        <f>COUNTIF(C3:C38,"&gt;0")</f>
        <v>34</v>
      </c>
      <c r="E39" s="53"/>
      <c r="F39" s="53"/>
      <c r="G39" s="53"/>
      <c r="H39" s="53"/>
      <c r="I39" s="53"/>
      <c r="J39" s="53"/>
      <c r="L39" s="33">
        <f>COUNTIF(L3:L38,"&gt;0")</f>
        <v>25</v>
      </c>
      <c r="M39" s="56"/>
      <c r="N39" s="57"/>
      <c r="O39" s="57"/>
      <c r="P39" s="57"/>
      <c r="Q39" s="57"/>
      <c r="R39" s="57"/>
      <c r="S39" s="57"/>
      <c r="T39" s="57"/>
    </row>
    <row r="40">
      <c r="E40" s="70"/>
      <c r="F40" s="70"/>
      <c r="G40" s="70"/>
      <c r="H40" s="70"/>
      <c r="I40" s="70"/>
      <c r="J40" s="70"/>
      <c r="O40" s="11"/>
    </row>
    <row r="41">
      <c r="O41" s="11"/>
    </row>
    <row r="42">
      <c r="O42" s="11"/>
    </row>
    <row r="43">
      <c r="O43" s="11"/>
    </row>
    <row r="44">
      <c r="O44" s="11"/>
    </row>
    <row r="45">
      <c r="O45" s="11"/>
    </row>
    <row r="46">
      <c r="O46" s="11"/>
    </row>
    <row r="47">
      <c r="O47" s="11"/>
    </row>
    <row r="48">
      <c r="O48" s="11"/>
    </row>
    <row r="49">
      <c r="O49" s="11"/>
    </row>
    <row r="50">
      <c r="O50" s="11"/>
    </row>
    <row r="51">
      <c r="O51" s="11"/>
    </row>
    <row r="52">
      <c r="O52" s="11"/>
    </row>
    <row r="53">
      <c r="O53" s="11"/>
    </row>
    <row r="54">
      <c r="O54" s="11"/>
    </row>
    <row r="55">
      <c r="O55" s="11"/>
    </row>
    <row r="56">
      <c r="O56" s="11"/>
    </row>
    <row r="57">
      <c r="O57" s="11"/>
    </row>
    <row r="58">
      <c r="O58" s="11"/>
    </row>
    <row r="59">
      <c r="O59" s="11"/>
    </row>
    <row r="60">
      <c r="O60" s="11"/>
    </row>
    <row r="61">
      <c r="O61" s="11"/>
    </row>
    <row r="62">
      <c r="O62" s="11"/>
    </row>
    <row r="63">
      <c r="O63" s="11"/>
    </row>
    <row r="64">
      <c r="O64" s="11"/>
    </row>
    <row r="65">
      <c r="O65" s="11"/>
    </row>
    <row r="66">
      <c r="O66" s="11"/>
    </row>
    <row r="67">
      <c r="O67" s="11"/>
    </row>
    <row r="68">
      <c r="O68" s="11"/>
    </row>
    <row r="69">
      <c r="O69" s="11"/>
    </row>
    <row r="70">
      <c r="O70" s="11"/>
    </row>
    <row r="71">
      <c r="O71" s="11"/>
    </row>
    <row r="72">
      <c r="O72" s="11"/>
    </row>
    <row r="73">
      <c r="O73" s="11"/>
    </row>
    <row r="74">
      <c r="O74" s="11"/>
    </row>
    <row r="75">
      <c r="O75" s="11"/>
    </row>
    <row r="76">
      <c r="O76" s="11"/>
    </row>
    <row r="77">
      <c r="O77" s="11"/>
    </row>
    <row r="78">
      <c r="O78" s="11"/>
    </row>
    <row r="79">
      <c r="O79" s="11"/>
    </row>
    <row r="80">
      <c r="O80" s="11"/>
    </row>
    <row r="81">
      <c r="O81" s="11"/>
    </row>
    <row r="82">
      <c r="O82" s="11"/>
    </row>
    <row r="83">
      <c r="O83" s="11"/>
    </row>
    <row r="84">
      <c r="O84" s="11"/>
    </row>
    <row r="85">
      <c r="O85" s="11"/>
    </row>
    <row r="86">
      <c r="O86" s="11"/>
    </row>
    <row r="87">
      <c r="O87" s="11"/>
    </row>
    <row r="88">
      <c r="O88" s="11"/>
    </row>
    <row r="89">
      <c r="O89" s="11"/>
    </row>
    <row r="90">
      <c r="O90" s="11"/>
    </row>
    <row r="91">
      <c r="O91" s="11"/>
    </row>
    <row r="92">
      <c r="O92" s="11"/>
    </row>
    <row r="93">
      <c r="O93" s="11"/>
    </row>
    <row r="94">
      <c r="O94" s="11"/>
    </row>
    <row r="95">
      <c r="O95" s="11"/>
    </row>
    <row r="96">
      <c r="O96" s="11"/>
    </row>
    <row r="97">
      <c r="O97" s="11"/>
    </row>
    <row r="98">
      <c r="O98" s="11"/>
    </row>
    <row r="99">
      <c r="O99" s="11"/>
    </row>
    <row r="100">
      <c r="O100" s="11"/>
    </row>
    <row r="101">
      <c r="O101" s="11"/>
    </row>
    <row r="102">
      <c r="O102" s="11"/>
    </row>
    <row r="103">
      <c r="O103" s="11"/>
    </row>
    <row r="104">
      <c r="O104" s="11"/>
    </row>
    <row r="105">
      <c r="O105" s="11"/>
    </row>
    <row r="106">
      <c r="O106" s="11"/>
    </row>
    <row r="107">
      <c r="O107" s="11"/>
    </row>
    <row r="108">
      <c r="O108" s="11"/>
    </row>
    <row r="109">
      <c r="O109" s="11"/>
    </row>
    <row r="110">
      <c r="O110" s="11"/>
    </row>
    <row r="111">
      <c r="O111" s="11"/>
    </row>
    <row r="112">
      <c r="O112" s="11"/>
    </row>
    <row r="113">
      <c r="O113" s="11"/>
    </row>
    <row r="114">
      <c r="O114" s="11"/>
    </row>
    <row r="115">
      <c r="O115" s="11"/>
    </row>
    <row r="116">
      <c r="O116" s="11"/>
    </row>
    <row r="117">
      <c r="O117" s="11"/>
    </row>
    <row r="118">
      <c r="O118" s="11"/>
    </row>
    <row r="119">
      <c r="O119" s="11"/>
    </row>
    <row r="120">
      <c r="O120" s="11"/>
    </row>
    <row r="121">
      <c r="O121" s="11"/>
    </row>
    <row r="122">
      <c r="O122" s="11"/>
    </row>
    <row r="123">
      <c r="O123" s="11"/>
    </row>
    <row r="124">
      <c r="O124" s="11"/>
    </row>
    <row r="125">
      <c r="O125" s="11"/>
    </row>
    <row r="126">
      <c r="O126" s="11"/>
    </row>
    <row r="127">
      <c r="O127" s="11"/>
    </row>
    <row r="128">
      <c r="O128" s="11"/>
    </row>
    <row r="129">
      <c r="O129" s="11"/>
    </row>
    <row r="130">
      <c r="O130" s="11"/>
    </row>
    <row r="131">
      <c r="O131" s="11"/>
    </row>
    <row r="132">
      <c r="O132" s="11"/>
    </row>
    <row r="133">
      <c r="O133" s="11"/>
    </row>
    <row r="134">
      <c r="O134" s="11"/>
    </row>
    <row r="135">
      <c r="O135" s="11"/>
    </row>
    <row r="136">
      <c r="O136" s="11"/>
    </row>
    <row r="137">
      <c r="O137" s="11"/>
    </row>
    <row r="138">
      <c r="O138" s="11"/>
    </row>
    <row r="139">
      <c r="O139" s="11"/>
    </row>
    <row r="140">
      <c r="O140" s="11"/>
    </row>
    <row r="141">
      <c r="O141" s="11"/>
    </row>
    <row r="142">
      <c r="O142" s="11"/>
    </row>
    <row r="143">
      <c r="O143" s="11"/>
    </row>
    <row r="144">
      <c r="O144" s="11"/>
    </row>
    <row r="145">
      <c r="O145" s="11"/>
    </row>
    <row r="146">
      <c r="O146" s="11"/>
    </row>
    <row r="147">
      <c r="O147" s="11"/>
    </row>
    <row r="148">
      <c r="O148" s="11"/>
    </row>
    <row r="149">
      <c r="O149" s="11"/>
    </row>
    <row r="150">
      <c r="O150" s="11"/>
    </row>
    <row r="151">
      <c r="O151" s="11"/>
    </row>
    <row r="152">
      <c r="O152" s="11"/>
    </row>
    <row r="153">
      <c r="O153" s="11"/>
    </row>
    <row r="154">
      <c r="O154" s="11"/>
    </row>
    <row r="155">
      <c r="O155" s="11"/>
    </row>
    <row r="156">
      <c r="O156" s="11"/>
    </row>
    <row r="157">
      <c r="O157" s="11"/>
    </row>
    <row r="158">
      <c r="O158" s="11"/>
    </row>
    <row r="159">
      <c r="O159" s="11"/>
    </row>
    <row r="160">
      <c r="O160" s="11"/>
    </row>
    <row r="161">
      <c r="O161" s="11"/>
    </row>
    <row r="162">
      <c r="O162" s="11"/>
    </row>
    <row r="163">
      <c r="O163" s="11"/>
    </row>
    <row r="164">
      <c r="O164" s="11"/>
    </row>
    <row r="165">
      <c r="O165" s="11"/>
    </row>
    <row r="166">
      <c r="O166" s="11"/>
    </row>
    <row r="167">
      <c r="O167" s="11"/>
    </row>
    <row r="168">
      <c r="O168" s="11"/>
    </row>
    <row r="169">
      <c r="O169" s="11"/>
    </row>
    <row r="170">
      <c r="O170" s="11"/>
    </row>
    <row r="171">
      <c r="O171" s="11"/>
    </row>
    <row r="172">
      <c r="O172" s="11"/>
    </row>
    <row r="173">
      <c r="O173" s="11"/>
    </row>
    <row r="174">
      <c r="O174" s="11"/>
    </row>
    <row r="175">
      <c r="O175" s="11"/>
    </row>
    <row r="176">
      <c r="O176" s="11"/>
    </row>
    <row r="177">
      <c r="O177" s="11"/>
    </row>
    <row r="178">
      <c r="O178" s="11"/>
    </row>
    <row r="179">
      <c r="O179" s="11"/>
    </row>
    <row r="180">
      <c r="O180" s="11"/>
    </row>
    <row r="181">
      <c r="O181" s="11"/>
    </row>
    <row r="182">
      <c r="O182" s="11"/>
    </row>
    <row r="183">
      <c r="O183" s="11"/>
    </row>
    <row r="184">
      <c r="O184" s="11"/>
    </row>
    <row r="185">
      <c r="O185" s="11"/>
    </row>
    <row r="186">
      <c r="O186" s="11"/>
    </row>
    <row r="187">
      <c r="O187" s="11"/>
    </row>
    <row r="188">
      <c r="O188" s="11"/>
    </row>
    <row r="189">
      <c r="O189" s="11"/>
    </row>
    <row r="190">
      <c r="O190" s="11"/>
    </row>
    <row r="191">
      <c r="O191" s="11"/>
    </row>
    <row r="192">
      <c r="O192" s="11"/>
    </row>
    <row r="193">
      <c r="O193" s="11"/>
    </row>
    <row r="194">
      <c r="O194" s="11"/>
    </row>
    <row r="195">
      <c r="O195" s="11"/>
    </row>
    <row r="196">
      <c r="O196" s="11"/>
    </row>
    <row r="197">
      <c r="O197" s="11"/>
    </row>
    <row r="198">
      <c r="O198" s="11"/>
    </row>
    <row r="199">
      <c r="O199" s="11"/>
    </row>
    <row r="200">
      <c r="O200" s="11"/>
    </row>
    <row r="201">
      <c r="O201" s="11"/>
    </row>
    <row r="202">
      <c r="O202" s="11"/>
    </row>
    <row r="203">
      <c r="O203" s="11"/>
    </row>
    <row r="204">
      <c r="O204" s="11"/>
    </row>
    <row r="205">
      <c r="O205" s="11"/>
    </row>
    <row r="206">
      <c r="O206" s="11"/>
    </row>
    <row r="207">
      <c r="O207" s="11"/>
    </row>
    <row r="208">
      <c r="O208" s="11"/>
    </row>
    <row r="209">
      <c r="O209" s="11"/>
    </row>
    <row r="210">
      <c r="O210" s="11"/>
    </row>
    <row r="211">
      <c r="O211" s="11"/>
    </row>
    <row r="212">
      <c r="O212" s="11"/>
    </row>
    <row r="213">
      <c r="O213" s="11"/>
    </row>
    <row r="214">
      <c r="O214" s="11"/>
    </row>
    <row r="215">
      <c r="O215" s="11"/>
    </row>
    <row r="216">
      <c r="O216" s="11"/>
    </row>
    <row r="217">
      <c r="O217" s="11"/>
    </row>
    <row r="218">
      <c r="O218" s="11"/>
    </row>
    <row r="219">
      <c r="O219" s="11"/>
    </row>
    <row r="220">
      <c r="O220" s="11"/>
    </row>
    <row r="221">
      <c r="O221" s="11"/>
    </row>
    <row r="222">
      <c r="O222" s="11"/>
    </row>
    <row r="223">
      <c r="O223" s="11"/>
    </row>
    <row r="224">
      <c r="O224" s="11"/>
    </row>
    <row r="225">
      <c r="O225" s="11"/>
    </row>
    <row r="226">
      <c r="O226" s="11"/>
    </row>
    <row r="227">
      <c r="O227" s="11"/>
    </row>
    <row r="228">
      <c r="O228" s="11"/>
    </row>
    <row r="229">
      <c r="O229" s="11"/>
    </row>
    <row r="230">
      <c r="O230" s="11"/>
    </row>
    <row r="231">
      <c r="O231" s="11"/>
    </row>
    <row r="232">
      <c r="O232" s="11"/>
    </row>
    <row r="233">
      <c r="O233" s="11"/>
    </row>
    <row r="234">
      <c r="O234" s="11"/>
    </row>
    <row r="235">
      <c r="O235" s="11"/>
    </row>
    <row r="236">
      <c r="O236" s="11"/>
    </row>
    <row r="237">
      <c r="O237" s="11"/>
    </row>
    <row r="238">
      <c r="O238" s="11"/>
    </row>
    <row r="239">
      <c r="O239" s="11"/>
    </row>
    <row r="240">
      <c r="O240" s="11"/>
    </row>
    <row r="241">
      <c r="O241" s="11"/>
    </row>
    <row r="242">
      <c r="O242" s="11"/>
    </row>
    <row r="243">
      <c r="O243" s="11"/>
    </row>
    <row r="244">
      <c r="O244" s="11"/>
    </row>
    <row r="245">
      <c r="O245" s="11"/>
    </row>
    <row r="246">
      <c r="O246" s="11"/>
    </row>
    <row r="247">
      <c r="O247" s="11"/>
    </row>
    <row r="248">
      <c r="O248" s="11"/>
    </row>
    <row r="249">
      <c r="O249" s="11"/>
    </row>
    <row r="250">
      <c r="O250" s="11"/>
    </row>
    <row r="251">
      <c r="O251" s="11"/>
    </row>
    <row r="252">
      <c r="O252" s="11"/>
    </row>
    <row r="253">
      <c r="O253" s="11"/>
    </row>
    <row r="254">
      <c r="O254" s="11"/>
    </row>
    <row r="255">
      <c r="O255" s="11"/>
    </row>
    <row r="256">
      <c r="O256" s="11"/>
    </row>
    <row r="257">
      <c r="O257" s="11"/>
    </row>
    <row r="258">
      <c r="O258" s="11"/>
    </row>
    <row r="259">
      <c r="O259" s="11"/>
    </row>
    <row r="260">
      <c r="O260" s="11"/>
    </row>
    <row r="261">
      <c r="O261" s="11"/>
    </row>
    <row r="262">
      <c r="O262" s="11"/>
    </row>
    <row r="263">
      <c r="O263" s="11"/>
    </row>
    <row r="264">
      <c r="O264" s="11"/>
    </row>
    <row r="265">
      <c r="O265" s="11"/>
    </row>
    <row r="266">
      <c r="O266" s="11"/>
    </row>
    <row r="267">
      <c r="O267" s="11"/>
    </row>
    <row r="268">
      <c r="O268" s="11"/>
    </row>
    <row r="269">
      <c r="O269" s="11"/>
    </row>
    <row r="270">
      <c r="O270" s="11"/>
    </row>
    <row r="271">
      <c r="O271" s="11"/>
    </row>
    <row r="272">
      <c r="O272" s="11"/>
    </row>
    <row r="273">
      <c r="O273" s="11"/>
    </row>
    <row r="274">
      <c r="O274" s="11"/>
    </row>
    <row r="275">
      <c r="O275" s="11"/>
    </row>
    <row r="276">
      <c r="O276" s="11"/>
    </row>
    <row r="277">
      <c r="O277" s="11"/>
    </row>
    <row r="278">
      <c r="O278" s="11"/>
    </row>
    <row r="279">
      <c r="O279" s="11"/>
    </row>
    <row r="280">
      <c r="O280" s="11"/>
    </row>
    <row r="281">
      <c r="O281" s="11"/>
    </row>
    <row r="282">
      <c r="O282" s="11"/>
    </row>
    <row r="283">
      <c r="O283" s="11"/>
    </row>
    <row r="284">
      <c r="O284" s="11"/>
    </row>
    <row r="285">
      <c r="O285" s="11"/>
    </row>
    <row r="286">
      <c r="O286" s="11"/>
    </row>
    <row r="287">
      <c r="O287" s="11"/>
    </row>
    <row r="288">
      <c r="O288" s="11"/>
    </row>
    <row r="289">
      <c r="O289" s="11"/>
    </row>
    <row r="290">
      <c r="O290" s="11"/>
    </row>
    <row r="291">
      <c r="O291" s="11"/>
    </row>
    <row r="292">
      <c r="O292" s="11"/>
    </row>
    <row r="293">
      <c r="O293" s="11"/>
    </row>
    <row r="294">
      <c r="O294" s="11"/>
    </row>
    <row r="295">
      <c r="O295" s="11"/>
    </row>
    <row r="296">
      <c r="O296" s="11"/>
    </row>
    <row r="297">
      <c r="O297" s="11"/>
    </row>
    <row r="298">
      <c r="O298" s="11"/>
    </row>
    <row r="299">
      <c r="O299" s="11"/>
    </row>
    <row r="300">
      <c r="O300" s="11"/>
    </row>
    <row r="301">
      <c r="O301" s="11"/>
    </row>
    <row r="302">
      <c r="O302" s="11"/>
    </row>
    <row r="303">
      <c r="O303" s="11"/>
    </row>
    <row r="304">
      <c r="O304" s="11"/>
    </row>
    <row r="305">
      <c r="O305" s="11"/>
    </row>
    <row r="306">
      <c r="O306" s="11"/>
    </row>
    <row r="307">
      <c r="O307" s="11"/>
    </row>
    <row r="308">
      <c r="O308" s="11"/>
    </row>
    <row r="309">
      <c r="O309" s="11"/>
    </row>
    <row r="310">
      <c r="O310" s="11"/>
    </row>
    <row r="311">
      <c r="O311" s="11"/>
    </row>
    <row r="312">
      <c r="O312" s="11"/>
    </row>
    <row r="313">
      <c r="O313" s="11"/>
    </row>
    <row r="314">
      <c r="O314" s="11"/>
    </row>
    <row r="315">
      <c r="O315" s="11"/>
    </row>
    <row r="316">
      <c r="O316" s="11"/>
    </row>
    <row r="317">
      <c r="O317" s="11"/>
    </row>
    <row r="318">
      <c r="O318" s="11"/>
    </row>
    <row r="319">
      <c r="O319" s="11"/>
    </row>
    <row r="320">
      <c r="O320" s="11"/>
    </row>
    <row r="321">
      <c r="O321" s="11"/>
    </row>
    <row r="322">
      <c r="O322" s="11"/>
    </row>
    <row r="323">
      <c r="O323" s="11"/>
    </row>
    <row r="324">
      <c r="O324" s="11"/>
    </row>
    <row r="325">
      <c r="O325" s="11"/>
    </row>
    <row r="326">
      <c r="O326" s="11"/>
    </row>
    <row r="327">
      <c r="O327" s="11"/>
    </row>
    <row r="328">
      <c r="O328" s="11"/>
    </row>
    <row r="329">
      <c r="O329" s="11"/>
    </row>
    <row r="330">
      <c r="O330" s="11"/>
    </row>
    <row r="331">
      <c r="O331" s="11"/>
    </row>
    <row r="332">
      <c r="O332" s="11"/>
    </row>
    <row r="333">
      <c r="O333" s="11"/>
    </row>
    <row r="334">
      <c r="O334" s="11"/>
    </row>
    <row r="335">
      <c r="O335" s="11"/>
    </row>
    <row r="336">
      <c r="O336" s="11"/>
    </row>
    <row r="337">
      <c r="O337" s="11"/>
    </row>
    <row r="338">
      <c r="O338" s="11"/>
    </row>
    <row r="339">
      <c r="O339" s="11"/>
    </row>
    <row r="340">
      <c r="O340" s="11"/>
    </row>
    <row r="341">
      <c r="O341" s="11"/>
    </row>
    <row r="342">
      <c r="O342" s="11"/>
    </row>
    <row r="343">
      <c r="O343" s="11"/>
    </row>
    <row r="344">
      <c r="O344" s="11"/>
    </row>
    <row r="345">
      <c r="O345" s="11"/>
    </row>
    <row r="346">
      <c r="O346" s="11"/>
    </row>
    <row r="347">
      <c r="O347" s="11"/>
    </row>
    <row r="348">
      <c r="O348" s="11"/>
    </row>
    <row r="349">
      <c r="O349" s="11"/>
    </row>
    <row r="350">
      <c r="O350" s="11"/>
    </row>
    <row r="351">
      <c r="O351" s="11"/>
    </row>
    <row r="352">
      <c r="O352" s="11"/>
    </row>
    <row r="353">
      <c r="O353" s="11"/>
    </row>
    <row r="354">
      <c r="O354" s="11"/>
    </row>
    <row r="355">
      <c r="O355" s="11"/>
    </row>
    <row r="356">
      <c r="O356" s="11"/>
    </row>
    <row r="357">
      <c r="O357" s="11"/>
    </row>
    <row r="358">
      <c r="O358" s="11"/>
    </row>
    <row r="359">
      <c r="O359" s="11"/>
    </row>
    <row r="360">
      <c r="O360" s="11"/>
    </row>
    <row r="361">
      <c r="O361" s="11"/>
    </row>
    <row r="362">
      <c r="O362" s="11"/>
    </row>
    <row r="363">
      <c r="O363" s="11"/>
    </row>
    <row r="364">
      <c r="O364" s="11"/>
    </row>
    <row r="365">
      <c r="O365" s="11"/>
    </row>
    <row r="366">
      <c r="O366" s="11"/>
    </row>
    <row r="367">
      <c r="O367" s="11"/>
    </row>
    <row r="368">
      <c r="O368" s="11"/>
    </row>
    <row r="369">
      <c r="O369" s="11"/>
    </row>
    <row r="370">
      <c r="O370" s="11"/>
    </row>
    <row r="371">
      <c r="O371" s="11"/>
    </row>
    <row r="372">
      <c r="O372" s="11"/>
    </row>
    <row r="373">
      <c r="O373" s="11"/>
    </row>
    <row r="374">
      <c r="O374" s="11"/>
    </row>
    <row r="375">
      <c r="O375" s="11"/>
    </row>
    <row r="376">
      <c r="O376" s="11"/>
    </row>
    <row r="377">
      <c r="O377" s="11"/>
    </row>
    <row r="378">
      <c r="O378" s="11"/>
    </row>
    <row r="379">
      <c r="O379" s="11"/>
    </row>
    <row r="380">
      <c r="O380" s="11"/>
    </row>
    <row r="381">
      <c r="O381" s="11"/>
    </row>
    <row r="382">
      <c r="O382" s="11"/>
    </row>
    <row r="383">
      <c r="O383" s="11"/>
    </row>
    <row r="384">
      <c r="O384" s="11"/>
    </row>
    <row r="385">
      <c r="O385" s="11"/>
    </row>
    <row r="386">
      <c r="O386" s="11"/>
    </row>
    <row r="387">
      <c r="O387" s="11"/>
    </row>
    <row r="388">
      <c r="O388" s="11"/>
    </row>
    <row r="389">
      <c r="O389" s="11"/>
    </row>
    <row r="390">
      <c r="O390" s="11"/>
    </row>
    <row r="391">
      <c r="O391" s="11"/>
    </row>
    <row r="392">
      <c r="O392" s="11"/>
    </row>
    <row r="393">
      <c r="O393" s="11"/>
    </row>
    <row r="394">
      <c r="O394" s="11"/>
    </row>
    <row r="395">
      <c r="O395" s="11"/>
    </row>
    <row r="396">
      <c r="O396" s="11"/>
    </row>
    <row r="397">
      <c r="O397" s="11"/>
    </row>
    <row r="398">
      <c r="O398" s="11"/>
    </row>
    <row r="399">
      <c r="O399" s="11"/>
    </row>
    <row r="400">
      <c r="O400" s="11"/>
    </row>
    <row r="401">
      <c r="O401" s="11"/>
    </row>
    <row r="402">
      <c r="O402" s="11"/>
    </row>
    <row r="403">
      <c r="O403" s="11"/>
    </row>
    <row r="404">
      <c r="O404" s="11"/>
    </row>
    <row r="405">
      <c r="O405" s="11"/>
    </row>
    <row r="406">
      <c r="O406" s="11"/>
    </row>
    <row r="407">
      <c r="O407" s="11"/>
    </row>
    <row r="408">
      <c r="O408" s="11"/>
    </row>
    <row r="409">
      <c r="O409" s="11"/>
    </row>
    <row r="410">
      <c r="O410" s="11"/>
    </row>
    <row r="411">
      <c r="O411" s="11"/>
    </row>
    <row r="412">
      <c r="O412" s="11"/>
    </row>
    <row r="413">
      <c r="O413" s="11"/>
    </row>
    <row r="414">
      <c r="O414" s="11"/>
    </row>
    <row r="415">
      <c r="O415" s="11"/>
    </row>
    <row r="416">
      <c r="O416" s="11"/>
    </row>
    <row r="417">
      <c r="O417" s="11"/>
    </row>
    <row r="418">
      <c r="O418" s="11"/>
    </row>
    <row r="419">
      <c r="O419" s="11"/>
    </row>
    <row r="420">
      <c r="O420" s="11"/>
    </row>
    <row r="421">
      <c r="O421" s="11"/>
    </row>
    <row r="422">
      <c r="O422" s="11"/>
    </row>
    <row r="423">
      <c r="O423" s="11"/>
    </row>
    <row r="424">
      <c r="O424" s="11"/>
    </row>
    <row r="425">
      <c r="O425" s="11"/>
    </row>
    <row r="426">
      <c r="O426" s="11"/>
    </row>
    <row r="427">
      <c r="O427" s="11"/>
    </row>
    <row r="428">
      <c r="O428" s="11"/>
    </row>
    <row r="429">
      <c r="O429" s="11"/>
    </row>
    <row r="430">
      <c r="O430" s="11"/>
    </row>
    <row r="431">
      <c r="O431" s="11"/>
    </row>
    <row r="432">
      <c r="O432" s="11"/>
    </row>
    <row r="433">
      <c r="O433" s="11"/>
    </row>
    <row r="434">
      <c r="O434" s="11"/>
    </row>
    <row r="435">
      <c r="O435" s="11"/>
    </row>
    <row r="436">
      <c r="O436" s="11"/>
    </row>
    <row r="437">
      <c r="O437" s="11"/>
    </row>
    <row r="438">
      <c r="O438" s="11"/>
    </row>
    <row r="439">
      <c r="O439" s="11"/>
    </row>
    <row r="440">
      <c r="O440" s="11"/>
    </row>
    <row r="441">
      <c r="O441" s="11"/>
    </row>
    <row r="442">
      <c r="O442" s="11"/>
    </row>
    <row r="443">
      <c r="O443" s="11"/>
    </row>
    <row r="444">
      <c r="O444" s="11"/>
    </row>
    <row r="445">
      <c r="O445" s="11"/>
    </row>
    <row r="446">
      <c r="O446" s="11"/>
    </row>
    <row r="447">
      <c r="O447" s="11"/>
    </row>
    <row r="448">
      <c r="O448" s="11"/>
    </row>
    <row r="449">
      <c r="O449" s="11"/>
    </row>
    <row r="450">
      <c r="O450" s="11"/>
    </row>
    <row r="451">
      <c r="O451" s="11"/>
    </row>
    <row r="452">
      <c r="O452" s="11"/>
    </row>
    <row r="453">
      <c r="O453" s="11"/>
    </row>
    <row r="454">
      <c r="O454" s="11"/>
    </row>
    <row r="455">
      <c r="O455" s="11"/>
    </row>
    <row r="456">
      <c r="O456" s="11"/>
    </row>
    <row r="457">
      <c r="O457" s="11"/>
    </row>
    <row r="458">
      <c r="O458" s="11"/>
    </row>
    <row r="459">
      <c r="O459" s="11"/>
    </row>
    <row r="460">
      <c r="O460" s="11"/>
    </row>
    <row r="461">
      <c r="O461" s="11"/>
    </row>
    <row r="462">
      <c r="O462" s="11"/>
    </row>
    <row r="463">
      <c r="O463" s="11"/>
    </row>
    <row r="464">
      <c r="O464" s="11"/>
    </row>
    <row r="465">
      <c r="O465" s="11"/>
    </row>
    <row r="466">
      <c r="O466" s="11"/>
    </row>
    <row r="467">
      <c r="O467" s="11"/>
    </row>
    <row r="468">
      <c r="O468" s="11"/>
    </row>
    <row r="469">
      <c r="O469" s="11"/>
    </row>
    <row r="470">
      <c r="O470" s="11"/>
    </row>
    <row r="471">
      <c r="O471" s="11"/>
    </row>
    <row r="472">
      <c r="O472" s="11"/>
    </row>
    <row r="473">
      <c r="O473" s="11"/>
    </row>
    <row r="474">
      <c r="O474" s="11"/>
    </row>
    <row r="475">
      <c r="O475" s="11"/>
    </row>
    <row r="476">
      <c r="O476" s="11"/>
    </row>
    <row r="477">
      <c r="O477" s="11"/>
    </row>
    <row r="478">
      <c r="O478" s="11"/>
    </row>
    <row r="479">
      <c r="O479" s="11"/>
    </row>
    <row r="480">
      <c r="O480" s="11"/>
    </row>
    <row r="481">
      <c r="O481" s="11"/>
    </row>
    <row r="482">
      <c r="O482" s="11"/>
    </row>
    <row r="483">
      <c r="O483" s="11"/>
    </row>
    <row r="484">
      <c r="O484" s="11"/>
    </row>
    <row r="485">
      <c r="O485" s="11"/>
    </row>
    <row r="486">
      <c r="O486" s="11"/>
    </row>
    <row r="487">
      <c r="O487" s="11"/>
    </row>
    <row r="488">
      <c r="O488" s="11"/>
    </row>
    <row r="489">
      <c r="O489" s="11"/>
    </row>
    <row r="490">
      <c r="O490" s="11"/>
    </row>
    <row r="491">
      <c r="O491" s="11"/>
    </row>
    <row r="492">
      <c r="O492" s="11"/>
    </row>
    <row r="493">
      <c r="O493" s="11"/>
    </row>
    <row r="494">
      <c r="O494" s="11"/>
    </row>
    <row r="495">
      <c r="O495" s="11"/>
    </row>
    <row r="496">
      <c r="O496" s="11"/>
    </row>
    <row r="497">
      <c r="O497" s="11"/>
    </row>
    <row r="498">
      <c r="O498" s="11"/>
    </row>
    <row r="499">
      <c r="O499" s="11"/>
    </row>
    <row r="500">
      <c r="O500" s="11"/>
    </row>
    <row r="501">
      <c r="O501" s="11"/>
    </row>
    <row r="502">
      <c r="O502" s="11"/>
    </row>
    <row r="503">
      <c r="O503" s="11"/>
    </row>
    <row r="504">
      <c r="O504" s="11"/>
    </row>
    <row r="505">
      <c r="O505" s="11"/>
    </row>
    <row r="506">
      <c r="O506" s="11"/>
    </row>
    <row r="507">
      <c r="O507" s="11"/>
    </row>
    <row r="508">
      <c r="O508" s="11"/>
    </row>
    <row r="509">
      <c r="O509" s="11"/>
    </row>
    <row r="510">
      <c r="O510" s="11"/>
    </row>
    <row r="511">
      <c r="O511" s="11"/>
    </row>
    <row r="512">
      <c r="O512" s="11"/>
    </row>
    <row r="513">
      <c r="O513" s="11"/>
    </row>
    <row r="514">
      <c r="O514" s="11"/>
    </row>
    <row r="515">
      <c r="O515" s="11"/>
    </row>
    <row r="516">
      <c r="O516" s="11"/>
    </row>
    <row r="517">
      <c r="O517" s="11"/>
    </row>
    <row r="518">
      <c r="O518" s="11"/>
    </row>
    <row r="519">
      <c r="O519" s="11"/>
    </row>
    <row r="520">
      <c r="O520" s="11"/>
    </row>
    <row r="521">
      <c r="O521" s="11"/>
    </row>
    <row r="522">
      <c r="O522" s="11"/>
    </row>
    <row r="523">
      <c r="O523" s="11"/>
    </row>
    <row r="524">
      <c r="O524" s="11"/>
    </row>
    <row r="525">
      <c r="O525" s="11"/>
    </row>
    <row r="526">
      <c r="O526" s="11"/>
    </row>
    <row r="527">
      <c r="O527" s="11"/>
    </row>
    <row r="528">
      <c r="O528" s="11"/>
    </row>
    <row r="529">
      <c r="O529" s="11"/>
    </row>
    <row r="530">
      <c r="O530" s="11"/>
    </row>
    <row r="531">
      <c r="O531" s="11"/>
    </row>
    <row r="532">
      <c r="O532" s="11"/>
    </row>
    <row r="533">
      <c r="O533" s="11"/>
    </row>
    <row r="534">
      <c r="O534" s="11"/>
    </row>
    <row r="535">
      <c r="O535" s="11"/>
    </row>
    <row r="536">
      <c r="O536" s="11"/>
    </row>
    <row r="537">
      <c r="O537" s="11"/>
    </row>
    <row r="538">
      <c r="O538" s="11"/>
    </row>
    <row r="539">
      <c r="O539" s="11"/>
    </row>
    <row r="540">
      <c r="O540" s="11"/>
    </row>
    <row r="541">
      <c r="O541" s="11"/>
    </row>
    <row r="542">
      <c r="O542" s="11"/>
    </row>
    <row r="543">
      <c r="O543" s="11"/>
    </row>
    <row r="544">
      <c r="O544" s="11"/>
    </row>
    <row r="545">
      <c r="O545" s="11"/>
    </row>
    <row r="546">
      <c r="O546" s="11"/>
    </row>
    <row r="547">
      <c r="O547" s="11"/>
    </row>
    <row r="548">
      <c r="O548" s="11"/>
    </row>
    <row r="549">
      <c r="O549" s="11"/>
    </row>
    <row r="550">
      <c r="O550" s="11"/>
    </row>
    <row r="551">
      <c r="O551" s="11"/>
    </row>
    <row r="552">
      <c r="O552" s="11"/>
    </row>
    <row r="553">
      <c r="O553" s="11"/>
    </row>
    <row r="554">
      <c r="O554" s="11"/>
    </row>
    <row r="555">
      <c r="O555" s="11"/>
    </row>
    <row r="556">
      <c r="O556" s="11"/>
    </row>
    <row r="557">
      <c r="O557" s="11"/>
    </row>
    <row r="558">
      <c r="O558" s="11"/>
    </row>
    <row r="559">
      <c r="O559" s="11"/>
    </row>
    <row r="560">
      <c r="O560" s="11"/>
    </row>
    <row r="561">
      <c r="O561" s="11"/>
    </row>
    <row r="562">
      <c r="O562" s="11"/>
    </row>
    <row r="563">
      <c r="O563" s="11"/>
    </row>
    <row r="564">
      <c r="O564" s="11"/>
    </row>
    <row r="565">
      <c r="O565" s="11"/>
    </row>
    <row r="566">
      <c r="O566" s="11"/>
    </row>
    <row r="567">
      <c r="O567" s="11"/>
    </row>
    <row r="568">
      <c r="O568" s="11"/>
    </row>
    <row r="569">
      <c r="O569" s="11"/>
    </row>
    <row r="570">
      <c r="O570" s="11"/>
    </row>
    <row r="571">
      <c r="O571" s="11"/>
    </row>
    <row r="572">
      <c r="O572" s="11"/>
    </row>
    <row r="573">
      <c r="O573" s="11"/>
    </row>
    <row r="574">
      <c r="O574" s="11"/>
    </row>
    <row r="575">
      <c r="O575" s="11"/>
    </row>
    <row r="576">
      <c r="O576" s="11"/>
    </row>
    <row r="577">
      <c r="O577" s="11"/>
    </row>
    <row r="578">
      <c r="O578" s="11"/>
    </row>
    <row r="579">
      <c r="O579" s="11"/>
    </row>
    <row r="580">
      <c r="O580" s="11"/>
    </row>
    <row r="581">
      <c r="O581" s="11"/>
    </row>
    <row r="582">
      <c r="O582" s="11"/>
    </row>
    <row r="583">
      <c r="O583" s="11"/>
    </row>
    <row r="584">
      <c r="O584" s="11"/>
    </row>
    <row r="585">
      <c r="O585" s="11"/>
    </row>
    <row r="586">
      <c r="O586" s="11"/>
    </row>
    <row r="587">
      <c r="O587" s="11"/>
    </row>
    <row r="588">
      <c r="O588" s="11"/>
    </row>
    <row r="589">
      <c r="O589" s="11"/>
    </row>
    <row r="590">
      <c r="O590" s="11"/>
    </row>
    <row r="591">
      <c r="O591" s="11"/>
    </row>
    <row r="592">
      <c r="O592" s="11"/>
    </row>
    <row r="593">
      <c r="O593" s="11"/>
    </row>
    <row r="594">
      <c r="O594" s="11"/>
    </row>
    <row r="595">
      <c r="O595" s="11"/>
    </row>
    <row r="596">
      <c r="O596" s="11"/>
    </row>
    <row r="597">
      <c r="O597" s="11"/>
    </row>
    <row r="598">
      <c r="O598" s="11"/>
    </row>
    <row r="599">
      <c r="O599" s="11"/>
    </row>
    <row r="600">
      <c r="O600" s="11"/>
    </row>
    <row r="601">
      <c r="O601" s="11"/>
    </row>
    <row r="602">
      <c r="O602" s="11"/>
    </row>
    <row r="603">
      <c r="O603" s="11"/>
    </row>
    <row r="604">
      <c r="O604" s="11"/>
    </row>
    <row r="605">
      <c r="O605" s="11"/>
    </row>
    <row r="606">
      <c r="O606" s="11"/>
    </row>
    <row r="607">
      <c r="O607" s="11"/>
    </row>
    <row r="608">
      <c r="O608" s="11"/>
    </row>
    <row r="609">
      <c r="O609" s="11"/>
    </row>
    <row r="610">
      <c r="O610" s="11"/>
    </row>
    <row r="611">
      <c r="O611" s="11"/>
    </row>
    <row r="612">
      <c r="O612" s="11"/>
    </row>
    <row r="613">
      <c r="O613" s="11"/>
    </row>
    <row r="614">
      <c r="O614" s="11"/>
    </row>
    <row r="615">
      <c r="O615" s="11"/>
    </row>
    <row r="616">
      <c r="O616" s="11"/>
    </row>
    <row r="617">
      <c r="O617" s="11"/>
    </row>
    <row r="618">
      <c r="O618" s="11"/>
    </row>
    <row r="619">
      <c r="O619" s="11"/>
    </row>
    <row r="620">
      <c r="O620" s="11"/>
    </row>
    <row r="621">
      <c r="O621" s="11"/>
    </row>
    <row r="622">
      <c r="O622" s="11"/>
    </row>
    <row r="623">
      <c r="O623" s="11"/>
    </row>
    <row r="624">
      <c r="O624" s="11"/>
    </row>
    <row r="625">
      <c r="O625" s="11"/>
    </row>
    <row r="626">
      <c r="O626" s="11"/>
    </row>
    <row r="627">
      <c r="O627" s="11"/>
    </row>
    <row r="628">
      <c r="O628" s="11"/>
    </row>
    <row r="629">
      <c r="O629" s="11"/>
    </row>
    <row r="630">
      <c r="O630" s="11"/>
    </row>
    <row r="631">
      <c r="O631" s="11"/>
    </row>
    <row r="632">
      <c r="O632" s="11"/>
    </row>
    <row r="633">
      <c r="O633" s="11"/>
    </row>
    <row r="634">
      <c r="O634" s="11"/>
    </row>
    <row r="635">
      <c r="O635" s="11"/>
    </row>
    <row r="636">
      <c r="O636" s="11"/>
    </row>
    <row r="637">
      <c r="O637" s="11"/>
    </row>
    <row r="638">
      <c r="O638" s="11"/>
    </row>
    <row r="639">
      <c r="O639" s="11"/>
    </row>
    <row r="640">
      <c r="O640" s="11"/>
    </row>
    <row r="641">
      <c r="O641" s="11"/>
    </row>
    <row r="642">
      <c r="O642" s="11"/>
    </row>
    <row r="643">
      <c r="O643" s="11"/>
    </row>
    <row r="644">
      <c r="O644" s="11"/>
    </row>
    <row r="645">
      <c r="O645" s="11"/>
    </row>
    <row r="646">
      <c r="O646" s="11"/>
    </row>
    <row r="647">
      <c r="O647" s="11"/>
    </row>
    <row r="648">
      <c r="O648" s="11"/>
    </row>
    <row r="649">
      <c r="O649" s="11"/>
    </row>
    <row r="650">
      <c r="O650" s="11"/>
    </row>
    <row r="651">
      <c r="O651" s="11"/>
    </row>
    <row r="652">
      <c r="O652" s="11"/>
    </row>
    <row r="653">
      <c r="O653" s="11"/>
    </row>
    <row r="654">
      <c r="O654" s="11"/>
    </row>
    <row r="655">
      <c r="O655" s="11"/>
    </row>
    <row r="656">
      <c r="O656" s="11"/>
    </row>
    <row r="657">
      <c r="O657" s="11"/>
    </row>
    <row r="658">
      <c r="O658" s="11"/>
    </row>
    <row r="659">
      <c r="O659" s="11"/>
    </row>
    <row r="660">
      <c r="O660" s="11"/>
    </row>
    <row r="661">
      <c r="O661" s="11"/>
    </row>
    <row r="662">
      <c r="O662" s="11"/>
    </row>
    <row r="663">
      <c r="O663" s="11"/>
    </row>
    <row r="664">
      <c r="O664" s="11"/>
    </row>
    <row r="665">
      <c r="O665" s="11"/>
    </row>
    <row r="666">
      <c r="O666" s="11"/>
    </row>
    <row r="667">
      <c r="O667" s="11"/>
    </row>
    <row r="668">
      <c r="O668" s="11"/>
    </row>
    <row r="669">
      <c r="O669" s="11"/>
    </row>
    <row r="670">
      <c r="O670" s="11"/>
    </row>
    <row r="671">
      <c r="O671" s="11"/>
    </row>
    <row r="672">
      <c r="O672" s="11"/>
    </row>
    <row r="673">
      <c r="O673" s="11"/>
    </row>
    <row r="674">
      <c r="O674" s="11"/>
    </row>
    <row r="675">
      <c r="O675" s="11"/>
    </row>
    <row r="676">
      <c r="O676" s="11"/>
    </row>
    <row r="677">
      <c r="O677" s="11"/>
    </row>
    <row r="678">
      <c r="O678" s="11"/>
    </row>
    <row r="679">
      <c r="O679" s="11"/>
    </row>
    <row r="680">
      <c r="O680" s="11"/>
    </row>
    <row r="681">
      <c r="O681" s="11"/>
    </row>
    <row r="682">
      <c r="O682" s="11"/>
    </row>
    <row r="683">
      <c r="O683" s="11"/>
    </row>
    <row r="684">
      <c r="O684" s="11"/>
    </row>
    <row r="685">
      <c r="O685" s="11"/>
    </row>
    <row r="686">
      <c r="O686" s="11"/>
    </row>
    <row r="687">
      <c r="O687" s="11"/>
    </row>
    <row r="688">
      <c r="O688" s="11"/>
    </row>
    <row r="689">
      <c r="O689" s="11"/>
    </row>
    <row r="690">
      <c r="O690" s="11"/>
    </row>
    <row r="691">
      <c r="O691" s="11"/>
    </row>
    <row r="692">
      <c r="O692" s="11"/>
    </row>
    <row r="693">
      <c r="O693" s="11"/>
    </row>
    <row r="694">
      <c r="O694" s="11"/>
    </row>
    <row r="695">
      <c r="O695" s="11"/>
    </row>
    <row r="696">
      <c r="O696" s="11"/>
    </row>
    <row r="697">
      <c r="O697" s="11"/>
    </row>
    <row r="698">
      <c r="O698" s="11"/>
    </row>
    <row r="699">
      <c r="O699" s="11"/>
    </row>
    <row r="700">
      <c r="O700" s="11"/>
    </row>
    <row r="701">
      <c r="O701" s="11"/>
    </row>
    <row r="702">
      <c r="O702" s="11"/>
    </row>
    <row r="703">
      <c r="O703" s="11"/>
    </row>
    <row r="704">
      <c r="O704" s="11"/>
    </row>
    <row r="705">
      <c r="O705" s="11"/>
    </row>
    <row r="706">
      <c r="O706" s="11"/>
    </row>
    <row r="707">
      <c r="O707" s="11"/>
    </row>
    <row r="708">
      <c r="O708" s="11"/>
    </row>
    <row r="709">
      <c r="O709" s="11"/>
    </row>
    <row r="710">
      <c r="O710" s="11"/>
    </row>
    <row r="711">
      <c r="O711" s="11"/>
    </row>
    <row r="712">
      <c r="O712" s="11"/>
    </row>
    <row r="713">
      <c r="O713" s="11"/>
    </row>
    <row r="714">
      <c r="O714" s="11"/>
    </row>
    <row r="715">
      <c r="O715" s="11"/>
    </row>
    <row r="716">
      <c r="O716" s="11"/>
    </row>
    <row r="717">
      <c r="O717" s="11"/>
    </row>
    <row r="718">
      <c r="O718" s="11"/>
    </row>
    <row r="719">
      <c r="O719" s="11"/>
    </row>
    <row r="720">
      <c r="O720" s="11"/>
    </row>
    <row r="721">
      <c r="O721" s="11"/>
    </row>
    <row r="722">
      <c r="O722" s="11"/>
    </row>
    <row r="723">
      <c r="O723" s="11"/>
    </row>
    <row r="724">
      <c r="O724" s="11"/>
    </row>
    <row r="725">
      <c r="O725" s="11"/>
    </row>
    <row r="726">
      <c r="O726" s="11"/>
    </row>
    <row r="727">
      <c r="O727" s="11"/>
    </row>
    <row r="728">
      <c r="O728" s="11"/>
    </row>
    <row r="729">
      <c r="O729" s="11"/>
    </row>
    <row r="730">
      <c r="O730" s="11"/>
    </row>
    <row r="731">
      <c r="O731" s="11"/>
    </row>
    <row r="732">
      <c r="O732" s="11"/>
    </row>
    <row r="733">
      <c r="O733" s="11"/>
    </row>
    <row r="734">
      <c r="O734" s="11"/>
    </row>
    <row r="735">
      <c r="O735" s="11"/>
    </row>
    <row r="736">
      <c r="O736" s="11"/>
    </row>
    <row r="737">
      <c r="O737" s="11"/>
    </row>
    <row r="738">
      <c r="O738" s="11"/>
    </row>
    <row r="739">
      <c r="O739" s="11"/>
    </row>
    <row r="740">
      <c r="O740" s="11"/>
    </row>
    <row r="741">
      <c r="O741" s="11"/>
    </row>
    <row r="742">
      <c r="O742" s="11"/>
    </row>
    <row r="743">
      <c r="O743" s="11"/>
    </row>
    <row r="744">
      <c r="O744" s="11"/>
    </row>
    <row r="745">
      <c r="O745" s="11"/>
    </row>
    <row r="746">
      <c r="O746" s="11"/>
    </row>
    <row r="747">
      <c r="O747" s="11"/>
    </row>
    <row r="748">
      <c r="O748" s="11"/>
    </row>
    <row r="749">
      <c r="O749" s="11"/>
    </row>
    <row r="750">
      <c r="O750" s="11"/>
    </row>
    <row r="751">
      <c r="O751" s="11"/>
    </row>
    <row r="752">
      <c r="O752" s="11"/>
    </row>
    <row r="753">
      <c r="O753" s="11"/>
    </row>
    <row r="754">
      <c r="O754" s="11"/>
    </row>
    <row r="755">
      <c r="O755" s="11"/>
    </row>
    <row r="756">
      <c r="O756" s="11"/>
    </row>
    <row r="757">
      <c r="O757" s="11"/>
    </row>
    <row r="758">
      <c r="O758" s="11"/>
    </row>
    <row r="759">
      <c r="O759" s="11"/>
    </row>
    <row r="760">
      <c r="O760" s="11"/>
    </row>
    <row r="761">
      <c r="O761" s="11"/>
    </row>
    <row r="762">
      <c r="O762" s="11"/>
    </row>
    <row r="763">
      <c r="O763" s="11"/>
    </row>
    <row r="764">
      <c r="O764" s="11"/>
    </row>
    <row r="765">
      <c r="O765" s="11"/>
    </row>
    <row r="766">
      <c r="O766" s="11"/>
    </row>
    <row r="767">
      <c r="O767" s="11"/>
    </row>
    <row r="768">
      <c r="O768" s="11"/>
    </row>
    <row r="769">
      <c r="O769" s="11"/>
    </row>
    <row r="770">
      <c r="O770" s="11"/>
    </row>
    <row r="771">
      <c r="O771" s="11"/>
    </row>
    <row r="772">
      <c r="O772" s="11"/>
    </row>
    <row r="773">
      <c r="O773" s="11"/>
    </row>
    <row r="774">
      <c r="O774" s="11"/>
    </row>
    <row r="775">
      <c r="O775" s="11"/>
    </row>
    <row r="776">
      <c r="O776" s="11"/>
    </row>
    <row r="777">
      <c r="O777" s="11"/>
    </row>
    <row r="778">
      <c r="O778" s="11"/>
    </row>
    <row r="779">
      <c r="O779" s="11"/>
    </row>
    <row r="780">
      <c r="O780" s="11"/>
    </row>
    <row r="781">
      <c r="O781" s="11"/>
    </row>
    <row r="782">
      <c r="O782" s="11"/>
    </row>
    <row r="783">
      <c r="O783" s="11"/>
    </row>
    <row r="784">
      <c r="O784" s="11"/>
    </row>
    <row r="785">
      <c r="O785" s="11"/>
    </row>
    <row r="786">
      <c r="O786" s="11"/>
    </row>
    <row r="787">
      <c r="O787" s="11"/>
    </row>
    <row r="788">
      <c r="O788" s="11"/>
    </row>
    <row r="789">
      <c r="O789" s="11"/>
    </row>
    <row r="790">
      <c r="O790" s="11"/>
    </row>
    <row r="791">
      <c r="O791" s="11"/>
    </row>
    <row r="792">
      <c r="O792" s="11"/>
    </row>
    <row r="793">
      <c r="O793" s="11"/>
    </row>
    <row r="794">
      <c r="O794" s="11"/>
    </row>
    <row r="795">
      <c r="O795" s="11"/>
    </row>
    <row r="796">
      <c r="O796" s="11"/>
    </row>
    <row r="797">
      <c r="O797" s="11"/>
    </row>
    <row r="798">
      <c r="O798" s="11"/>
    </row>
    <row r="799">
      <c r="O799" s="11"/>
    </row>
    <row r="800">
      <c r="O800" s="11"/>
    </row>
    <row r="801">
      <c r="O801" s="11"/>
    </row>
    <row r="802">
      <c r="O802" s="11"/>
    </row>
    <row r="803">
      <c r="O803" s="11"/>
    </row>
    <row r="804">
      <c r="O804" s="11"/>
    </row>
    <row r="805">
      <c r="O805" s="11"/>
    </row>
    <row r="806">
      <c r="O806" s="11"/>
    </row>
    <row r="807">
      <c r="O807" s="11"/>
    </row>
    <row r="808">
      <c r="O808" s="11"/>
    </row>
    <row r="809">
      <c r="O809" s="11"/>
    </row>
    <row r="810">
      <c r="O810" s="11"/>
    </row>
    <row r="811">
      <c r="O811" s="11"/>
    </row>
    <row r="812">
      <c r="O812" s="11"/>
    </row>
    <row r="813">
      <c r="O813" s="11"/>
    </row>
    <row r="814">
      <c r="O814" s="11"/>
    </row>
    <row r="815">
      <c r="O815" s="11"/>
    </row>
    <row r="816">
      <c r="O816" s="11"/>
    </row>
    <row r="817">
      <c r="O817" s="11"/>
    </row>
    <row r="818">
      <c r="O818" s="11"/>
    </row>
    <row r="819">
      <c r="O819" s="11"/>
    </row>
    <row r="820">
      <c r="O820" s="11"/>
    </row>
    <row r="821">
      <c r="O821" s="11"/>
    </row>
    <row r="822">
      <c r="O822" s="11"/>
    </row>
    <row r="823">
      <c r="O823" s="11"/>
    </row>
    <row r="824">
      <c r="O824" s="11"/>
    </row>
    <row r="825">
      <c r="O825" s="11"/>
    </row>
    <row r="826">
      <c r="O826" s="11"/>
    </row>
    <row r="827">
      <c r="O827" s="11"/>
    </row>
    <row r="828">
      <c r="O828" s="11"/>
    </row>
    <row r="829">
      <c r="O829" s="11"/>
    </row>
    <row r="830">
      <c r="O830" s="11"/>
    </row>
    <row r="831">
      <c r="O831" s="11"/>
    </row>
    <row r="832">
      <c r="O832" s="11"/>
    </row>
    <row r="833">
      <c r="O833" s="11"/>
    </row>
    <row r="834">
      <c r="O834" s="11"/>
    </row>
    <row r="835">
      <c r="O835" s="11"/>
    </row>
    <row r="836">
      <c r="O836" s="11"/>
    </row>
    <row r="837">
      <c r="O837" s="11"/>
    </row>
    <row r="838">
      <c r="O838" s="11"/>
    </row>
    <row r="839">
      <c r="O839" s="11"/>
    </row>
    <row r="840">
      <c r="O840" s="11"/>
    </row>
    <row r="841">
      <c r="O841" s="11"/>
    </row>
    <row r="842">
      <c r="O842" s="11"/>
    </row>
    <row r="843">
      <c r="O843" s="11"/>
    </row>
    <row r="844">
      <c r="O844" s="11"/>
    </row>
    <row r="845">
      <c r="O845" s="11"/>
    </row>
    <row r="846">
      <c r="O846" s="11"/>
    </row>
    <row r="847">
      <c r="O847" s="11"/>
    </row>
    <row r="848">
      <c r="O848" s="11"/>
    </row>
    <row r="849">
      <c r="O849" s="11"/>
    </row>
    <row r="850">
      <c r="O850" s="11"/>
    </row>
    <row r="851">
      <c r="O851" s="11"/>
    </row>
    <row r="852">
      <c r="O852" s="11"/>
    </row>
    <row r="853">
      <c r="O853" s="11"/>
    </row>
    <row r="854">
      <c r="O854" s="11"/>
    </row>
    <row r="855">
      <c r="O855" s="11"/>
    </row>
    <row r="856">
      <c r="O856" s="11"/>
    </row>
    <row r="857">
      <c r="O857" s="11"/>
    </row>
    <row r="858">
      <c r="O858" s="11"/>
    </row>
    <row r="859">
      <c r="O859" s="11"/>
    </row>
    <row r="860">
      <c r="O860" s="11"/>
    </row>
    <row r="861">
      <c r="O861" s="11"/>
    </row>
    <row r="862">
      <c r="O862" s="11"/>
    </row>
    <row r="863">
      <c r="O863" s="11"/>
    </row>
    <row r="864">
      <c r="O864" s="11"/>
    </row>
    <row r="865">
      <c r="O865" s="11"/>
    </row>
    <row r="866">
      <c r="O866" s="11"/>
    </row>
    <row r="867">
      <c r="O867" s="11"/>
    </row>
    <row r="868">
      <c r="O868" s="11"/>
    </row>
    <row r="869">
      <c r="O869" s="11"/>
    </row>
    <row r="870">
      <c r="O870" s="11"/>
    </row>
    <row r="871">
      <c r="O871" s="11"/>
    </row>
    <row r="872">
      <c r="O872" s="11"/>
    </row>
    <row r="873">
      <c r="O873" s="11"/>
    </row>
    <row r="874">
      <c r="O874" s="11"/>
    </row>
    <row r="875">
      <c r="O875" s="11"/>
    </row>
    <row r="876">
      <c r="O876" s="11"/>
    </row>
    <row r="877">
      <c r="O877" s="11"/>
    </row>
    <row r="878">
      <c r="O878" s="11"/>
    </row>
    <row r="879">
      <c r="O879" s="11"/>
    </row>
    <row r="880">
      <c r="O880" s="11"/>
    </row>
    <row r="881">
      <c r="O881" s="11"/>
    </row>
    <row r="882">
      <c r="O882" s="11"/>
    </row>
    <row r="883">
      <c r="O883" s="11"/>
    </row>
    <row r="884">
      <c r="O884" s="11"/>
    </row>
    <row r="885">
      <c r="O885" s="11"/>
    </row>
    <row r="886">
      <c r="O886" s="11"/>
    </row>
    <row r="887">
      <c r="O887" s="11"/>
    </row>
    <row r="888">
      <c r="O888" s="11"/>
    </row>
    <row r="889">
      <c r="O889" s="11"/>
    </row>
    <row r="890">
      <c r="O890" s="11"/>
    </row>
    <row r="891">
      <c r="O891" s="11"/>
    </row>
    <row r="892">
      <c r="O892" s="11"/>
    </row>
    <row r="893">
      <c r="O893" s="11"/>
    </row>
    <row r="894">
      <c r="O894" s="11"/>
    </row>
    <row r="895">
      <c r="O895" s="11"/>
    </row>
    <row r="896">
      <c r="O896" s="11"/>
    </row>
    <row r="897">
      <c r="O897" s="11"/>
    </row>
    <row r="898">
      <c r="O898" s="11"/>
    </row>
    <row r="899">
      <c r="O899" s="11"/>
    </row>
    <row r="900">
      <c r="O900" s="11"/>
    </row>
    <row r="901">
      <c r="O901" s="11"/>
    </row>
    <row r="902">
      <c r="O902" s="11"/>
    </row>
    <row r="903">
      <c r="O903" s="11"/>
    </row>
    <row r="904">
      <c r="O904" s="11"/>
    </row>
    <row r="905">
      <c r="O905" s="11"/>
    </row>
    <row r="906">
      <c r="O906" s="11"/>
    </row>
    <row r="907">
      <c r="O907" s="11"/>
    </row>
    <row r="908">
      <c r="O908" s="11"/>
    </row>
    <row r="909">
      <c r="O909" s="11"/>
    </row>
    <row r="910">
      <c r="O910" s="11"/>
    </row>
    <row r="911">
      <c r="O911" s="11"/>
    </row>
    <row r="912">
      <c r="O912" s="11"/>
    </row>
    <row r="913">
      <c r="O913" s="11"/>
    </row>
    <row r="914">
      <c r="O914" s="11"/>
    </row>
    <row r="915">
      <c r="O915" s="11"/>
    </row>
    <row r="916">
      <c r="O916" s="11"/>
    </row>
    <row r="917">
      <c r="O917" s="11"/>
    </row>
    <row r="918">
      <c r="O918" s="11"/>
    </row>
    <row r="919">
      <c r="O919" s="11"/>
    </row>
    <row r="920">
      <c r="O920" s="11"/>
    </row>
    <row r="921">
      <c r="O921" s="11"/>
    </row>
    <row r="922">
      <c r="O922" s="11"/>
    </row>
    <row r="923">
      <c r="O923" s="11"/>
    </row>
    <row r="924">
      <c r="O924" s="11"/>
    </row>
    <row r="925">
      <c r="O925" s="11"/>
    </row>
    <row r="926">
      <c r="O926" s="11"/>
    </row>
    <row r="927">
      <c r="O927" s="11"/>
    </row>
    <row r="928">
      <c r="O928" s="11"/>
    </row>
    <row r="929">
      <c r="O929" s="11"/>
    </row>
    <row r="930">
      <c r="O930" s="11"/>
    </row>
    <row r="931">
      <c r="O931" s="11"/>
    </row>
    <row r="932">
      <c r="O932" s="11"/>
    </row>
    <row r="933">
      <c r="O933" s="11"/>
    </row>
    <row r="934">
      <c r="O934" s="11"/>
    </row>
    <row r="935">
      <c r="O935" s="11"/>
    </row>
    <row r="936">
      <c r="O936" s="11"/>
    </row>
    <row r="937">
      <c r="O937" s="11"/>
    </row>
    <row r="938">
      <c r="O938" s="11"/>
    </row>
    <row r="939">
      <c r="O939" s="11"/>
    </row>
    <row r="940">
      <c r="O940" s="11"/>
    </row>
    <row r="941">
      <c r="O941" s="11"/>
    </row>
    <row r="942">
      <c r="O942" s="11"/>
    </row>
    <row r="943">
      <c r="O943" s="11"/>
    </row>
    <row r="944">
      <c r="O944" s="11"/>
    </row>
    <row r="945">
      <c r="O945" s="11"/>
    </row>
    <row r="946">
      <c r="O946" s="11"/>
    </row>
    <row r="947">
      <c r="O947" s="11"/>
    </row>
    <row r="948">
      <c r="O948" s="11"/>
    </row>
    <row r="949">
      <c r="O949" s="11"/>
    </row>
    <row r="950">
      <c r="O950" s="11"/>
    </row>
    <row r="951">
      <c r="O951" s="11"/>
    </row>
    <row r="952">
      <c r="O952" s="11"/>
    </row>
    <row r="953">
      <c r="O953" s="11"/>
    </row>
    <row r="954">
      <c r="O954" s="11"/>
    </row>
    <row r="955">
      <c r="O955" s="11"/>
    </row>
    <row r="956">
      <c r="O956" s="11"/>
    </row>
    <row r="957">
      <c r="O957" s="11"/>
    </row>
    <row r="958">
      <c r="O958" s="11"/>
    </row>
    <row r="959">
      <c r="O959" s="11"/>
    </row>
    <row r="960">
      <c r="O960" s="11"/>
    </row>
    <row r="961">
      <c r="O961" s="11"/>
    </row>
    <row r="962">
      <c r="O962" s="11"/>
    </row>
    <row r="963">
      <c r="O963" s="11"/>
    </row>
    <row r="964">
      <c r="O964" s="11"/>
    </row>
    <row r="965">
      <c r="O965" s="11"/>
    </row>
    <row r="966">
      <c r="O966" s="11"/>
    </row>
    <row r="967">
      <c r="O967" s="11"/>
    </row>
    <row r="968">
      <c r="O968" s="11"/>
    </row>
    <row r="969">
      <c r="O969" s="11"/>
    </row>
    <row r="970">
      <c r="O970" s="11"/>
    </row>
    <row r="971">
      <c r="O971" s="11"/>
    </row>
    <row r="972">
      <c r="O972" s="11"/>
    </row>
    <row r="973">
      <c r="O973" s="11"/>
    </row>
    <row r="974">
      <c r="O974" s="11"/>
    </row>
    <row r="975">
      <c r="O975" s="11"/>
    </row>
    <row r="976">
      <c r="O976" s="11"/>
    </row>
    <row r="977">
      <c r="O977" s="11"/>
    </row>
    <row r="978">
      <c r="O978" s="11"/>
    </row>
    <row r="979">
      <c r="O979" s="11"/>
    </row>
    <row r="980">
      <c r="O980" s="11"/>
    </row>
    <row r="981">
      <c r="O981" s="11"/>
    </row>
    <row r="982">
      <c r="O982" s="11"/>
    </row>
    <row r="983">
      <c r="O983" s="11"/>
    </row>
    <row r="984">
      <c r="O984" s="11"/>
    </row>
    <row r="985">
      <c r="O985" s="11"/>
    </row>
    <row r="986">
      <c r="O986" s="11"/>
    </row>
    <row r="987">
      <c r="O987" s="11"/>
    </row>
    <row r="988">
      <c r="O988" s="11"/>
    </row>
    <row r="989">
      <c r="O989" s="11"/>
    </row>
    <row r="990">
      <c r="O990" s="11"/>
    </row>
    <row r="991">
      <c r="O991" s="11"/>
    </row>
    <row r="992">
      <c r="O992" s="11"/>
    </row>
    <row r="993">
      <c r="O993" s="11"/>
    </row>
    <row r="994">
      <c r="O994" s="11"/>
    </row>
    <row r="995">
      <c r="O995" s="11"/>
    </row>
    <row r="996">
      <c r="O996" s="11"/>
    </row>
    <row r="997">
      <c r="O997" s="11"/>
    </row>
    <row r="998">
      <c r="O998" s="11"/>
    </row>
    <row r="999">
      <c r="O999" s="11"/>
    </row>
    <row r="1000">
      <c r="O1000" s="11"/>
    </row>
    <row r="1001">
      <c r="O1001" s="11"/>
    </row>
    <row r="1002">
      <c r="O1002" s="1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hidden="1" min="2" max="2" width="34.71"/>
  </cols>
  <sheetData>
    <row r="1">
      <c r="A1" s="71" t="s">
        <v>0</v>
      </c>
      <c r="B1" s="72" t="s">
        <v>1</v>
      </c>
      <c r="C1" s="73" t="s">
        <v>131</v>
      </c>
      <c r="D1" s="73" t="s">
        <v>132</v>
      </c>
      <c r="E1" s="73" t="s">
        <v>133</v>
      </c>
      <c r="F1" s="73" t="s">
        <v>134</v>
      </c>
      <c r="G1" s="73" t="s">
        <v>131</v>
      </c>
      <c r="H1" s="73" t="s">
        <v>132</v>
      </c>
      <c r="I1" s="73" t="s">
        <v>133</v>
      </c>
      <c r="J1" s="73" t="s">
        <v>134</v>
      </c>
      <c r="K1" s="73" t="s">
        <v>135</v>
      </c>
      <c r="L1" s="74" t="s">
        <v>136</v>
      </c>
      <c r="M1" s="75" t="s">
        <v>137</v>
      </c>
    </row>
    <row r="2">
      <c r="A2" s="76">
        <f>Worksheet!A2</f>
        <v>20301033</v>
      </c>
      <c r="B2" s="58" t="str">
        <f>Worksheet!B2</f>
        <v>Amlan Dutta</v>
      </c>
      <c r="C2" s="77">
        <v>6.5</v>
      </c>
      <c r="D2" s="77">
        <v>10.0</v>
      </c>
      <c r="E2" s="77">
        <v>8.0</v>
      </c>
      <c r="F2" s="77">
        <v>9.0</v>
      </c>
      <c r="G2" s="78">
        <f t="shared" ref="G2:I2" si="1">C2</f>
        <v>6.5</v>
      </c>
      <c r="H2" s="78">
        <f t="shared" si="1"/>
        <v>10</v>
      </c>
      <c r="I2" s="78">
        <f t="shared" si="1"/>
        <v>8</v>
      </c>
      <c r="J2" s="77">
        <f t="shared" ref="J2:J17" si="3">if(F2&lt;10,F2,10)</f>
        <v>9</v>
      </c>
      <c r="K2" s="77">
        <f t="shared" ref="K2:K37" si="4">if(F2&gt;10,F2-10,0)</f>
        <v>0</v>
      </c>
      <c r="L2" s="79">
        <f t="shared" ref="L2:L37" si="5">if((SUMPRODUCT(LARGE(G2:J2,{1,2,3})))/3*2&gt;20,20,TRUNC((SUMPRODUCT(LARGE(G2:J2,{1,2,3})))/3*2,2))</f>
        <v>18</v>
      </c>
      <c r="M2" s="80">
        <f t="shared" ref="M2:M37" si="6">if((SUMPRODUCT(LARGE(G2:J2,{1,2,3}))+K2/2)/3*2&gt;20,20,TRUNC((SUMPRODUCT(LARGE(G2:J2,{1,2,3}))+K2/2)/3*2,2))</f>
        <v>18</v>
      </c>
    </row>
    <row r="3">
      <c r="A3" s="76">
        <f>Worksheet!A3</f>
        <v>22101425</v>
      </c>
      <c r="B3" s="58" t="str">
        <f>Worksheet!B3</f>
        <v>Khandokar Yusuf Khalid</v>
      </c>
      <c r="C3" s="77">
        <v>5.0</v>
      </c>
      <c r="D3" s="77">
        <v>5.0</v>
      </c>
      <c r="E3" s="77">
        <v>10.0</v>
      </c>
      <c r="F3" s="77">
        <v>10.0</v>
      </c>
      <c r="G3" s="78">
        <f t="shared" ref="G3:I3" si="2">C3</f>
        <v>5</v>
      </c>
      <c r="H3" s="78">
        <f t="shared" si="2"/>
        <v>5</v>
      </c>
      <c r="I3" s="78">
        <f t="shared" si="2"/>
        <v>10</v>
      </c>
      <c r="J3" s="77">
        <f t="shared" si="3"/>
        <v>10</v>
      </c>
      <c r="K3" s="77">
        <f t="shared" si="4"/>
        <v>0</v>
      </c>
      <c r="L3" s="79">
        <f t="shared" si="5"/>
        <v>16.66</v>
      </c>
      <c r="M3" s="80">
        <f t="shared" si="6"/>
        <v>16.66</v>
      </c>
    </row>
    <row r="4">
      <c r="A4" s="76">
        <f>Worksheet!A4</f>
        <v>22101748</v>
      </c>
      <c r="B4" s="58" t="str">
        <f>Worksheet!B4</f>
        <v>Mst. Zubaida Haque Jetu</v>
      </c>
      <c r="C4" s="77"/>
      <c r="D4" s="77">
        <v>5.0</v>
      </c>
      <c r="E4" s="77">
        <v>5.0</v>
      </c>
      <c r="F4" s="77">
        <v>5.0</v>
      </c>
      <c r="G4" s="78" t="str">
        <f t="shared" ref="G4:I4" si="7">C4</f>
        <v/>
      </c>
      <c r="H4" s="78">
        <f t="shared" si="7"/>
        <v>5</v>
      </c>
      <c r="I4" s="78">
        <f t="shared" si="7"/>
        <v>5</v>
      </c>
      <c r="J4" s="77">
        <f t="shared" si="3"/>
        <v>5</v>
      </c>
      <c r="K4" s="77">
        <f t="shared" si="4"/>
        <v>0</v>
      </c>
      <c r="L4" s="79">
        <f t="shared" si="5"/>
        <v>10</v>
      </c>
      <c r="M4" s="80">
        <f t="shared" si="6"/>
        <v>10</v>
      </c>
    </row>
    <row r="5">
      <c r="A5" s="76">
        <f>Worksheet!A5</f>
        <v>22299296</v>
      </c>
      <c r="B5" s="58" t="str">
        <f>Worksheet!B5</f>
        <v>Raihan Karim</v>
      </c>
      <c r="C5" s="77">
        <v>8.0</v>
      </c>
      <c r="D5" s="77">
        <v>10.0</v>
      </c>
      <c r="E5" s="77">
        <v>3.0</v>
      </c>
      <c r="F5" s="77">
        <v>12.0</v>
      </c>
      <c r="G5" s="78">
        <f t="shared" ref="G5:I5" si="8">C5</f>
        <v>8</v>
      </c>
      <c r="H5" s="78">
        <f t="shared" si="8"/>
        <v>10</v>
      </c>
      <c r="I5" s="78">
        <f t="shared" si="8"/>
        <v>3</v>
      </c>
      <c r="J5" s="77">
        <f t="shared" si="3"/>
        <v>10</v>
      </c>
      <c r="K5" s="77">
        <f t="shared" si="4"/>
        <v>2</v>
      </c>
      <c r="L5" s="79">
        <f t="shared" si="5"/>
        <v>18.66</v>
      </c>
      <c r="M5" s="80">
        <f t="shared" si="6"/>
        <v>19.33</v>
      </c>
    </row>
    <row r="6">
      <c r="A6" s="76">
        <f>Worksheet!A6</f>
        <v>23101075</v>
      </c>
      <c r="B6" s="58" t="str">
        <f>Worksheet!B6</f>
        <v>Abida Nowsheen</v>
      </c>
      <c r="C6" s="77">
        <v>0.0</v>
      </c>
      <c r="D6" s="77">
        <v>5.0</v>
      </c>
      <c r="E6" s="77">
        <v>3.0</v>
      </c>
      <c r="F6" s="77">
        <v>0.0</v>
      </c>
      <c r="G6" s="78">
        <f t="shared" ref="G6:I6" si="9">C6</f>
        <v>0</v>
      </c>
      <c r="H6" s="78">
        <f t="shared" si="9"/>
        <v>5</v>
      </c>
      <c r="I6" s="78">
        <f t="shared" si="9"/>
        <v>3</v>
      </c>
      <c r="J6" s="77">
        <f t="shared" si="3"/>
        <v>0</v>
      </c>
      <c r="K6" s="77">
        <f t="shared" si="4"/>
        <v>0</v>
      </c>
      <c r="L6" s="79">
        <f t="shared" si="5"/>
        <v>5.33</v>
      </c>
      <c r="M6" s="80">
        <f t="shared" si="6"/>
        <v>5.33</v>
      </c>
    </row>
    <row r="7">
      <c r="A7" s="76">
        <f>Worksheet!A7</f>
        <v>23101101</v>
      </c>
      <c r="B7" s="58" t="str">
        <f>Worksheet!B7</f>
        <v>Jubaida Jahan Prapti</v>
      </c>
      <c r="C7" s="77">
        <v>0.0</v>
      </c>
      <c r="D7" s="77">
        <v>0.0</v>
      </c>
      <c r="E7" s="77">
        <v>0.0</v>
      </c>
      <c r="F7" s="77">
        <v>0.0</v>
      </c>
      <c r="G7" s="78">
        <f t="shared" ref="G7:I7" si="10">C7</f>
        <v>0</v>
      </c>
      <c r="H7" s="78">
        <f t="shared" si="10"/>
        <v>0</v>
      </c>
      <c r="I7" s="78">
        <f t="shared" si="10"/>
        <v>0</v>
      </c>
      <c r="J7" s="77">
        <f t="shared" si="3"/>
        <v>0</v>
      </c>
      <c r="K7" s="77">
        <f t="shared" si="4"/>
        <v>0</v>
      </c>
      <c r="L7" s="79">
        <f t="shared" si="5"/>
        <v>0</v>
      </c>
      <c r="M7" s="80">
        <f t="shared" si="6"/>
        <v>0</v>
      </c>
    </row>
    <row r="8">
      <c r="A8" s="76">
        <f>Worksheet!A8</f>
        <v>23101271</v>
      </c>
      <c r="B8" s="58" t="str">
        <f>Worksheet!B8</f>
        <v>Sazid Chowdhury</v>
      </c>
      <c r="C8" s="77">
        <v>2.0</v>
      </c>
      <c r="D8" s="77">
        <v>5.0</v>
      </c>
      <c r="E8" s="77">
        <v>7.0</v>
      </c>
      <c r="F8" s="77">
        <v>10.0</v>
      </c>
      <c r="G8" s="78">
        <f t="shared" ref="G8:I8" si="11">C8</f>
        <v>2</v>
      </c>
      <c r="H8" s="78">
        <f t="shared" si="11"/>
        <v>5</v>
      </c>
      <c r="I8" s="78">
        <f t="shared" si="11"/>
        <v>7</v>
      </c>
      <c r="J8" s="77">
        <f t="shared" si="3"/>
        <v>10</v>
      </c>
      <c r="K8" s="77">
        <f t="shared" si="4"/>
        <v>0</v>
      </c>
      <c r="L8" s="79">
        <f t="shared" si="5"/>
        <v>14.66</v>
      </c>
      <c r="M8" s="80">
        <f t="shared" si="6"/>
        <v>14.66</v>
      </c>
    </row>
    <row r="9">
      <c r="A9" s="76">
        <f>Worksheet!A9</f>
        <v>23101378</v>
      </c>
      <c r="B9" s="58" t="str">
        <f>Worksheet!B9</f>
        <v>Sharif Al Rezoan</v>
      </c>
      <c r="C9" s="77"/>
      <c r="D9" s="77">
        <v>10.0</v>
      </c>
      <c r="E9" s="77">
        <v>5.0</v>
      </c>
      <c r="F9" s="77">
        <v>12.0</v>
      </c>
      <c r="G9" s="78" t="str">
        <f t="shared" ref="G9:I9" si="12">C9</f>
        <v/>
      </c>
      <c r="H9" s="78">
        <f t="shared" si="12"/>
        <v>10</v>
      </c>
      <c r="I9" s="78">
        <f t="shared" si="12"/>
        <v>5</v>
      </c>
      <c r="J9" s="77">
        <f t="shared" si="3"/>
        <v>10</v>
      </c>
      <c r="K9" s="77">
        <f t="shared" si="4"/>
        <v>2</v>
      </c>
      <c r="L9" s="79">
        <f t="shared" si="5"/>
        <v>16.66</v>
      </c>
      <c r="M9" s="80">
        <f t="shared" si="6"/>
        <v>17.33</v>
      </c>
    </row>
    <row r="10">
      <c r="A10" s="76">
        <f>Worksheet!A10</f>
        <v>23141047</v>
      </c>
      <c r="B10" s="58" t="str">
        <f>Worksheet!B10</f>
        <v>Mohammad Rashik Ruhullah Rafi</v>
      </c>
      <c r="C10" s="77">
        <v>5.5</v>
      </c>
      <c r="D10" s="77">
        <v>5.0</v>
      </c>
      <c r="E10" s="77">
        <v>6.0</v>
      </c>
      <c r="F10" s="77"/>
      <c r="G10" s="78">
        <f t="shared" ref="G10:I10" si="13">C10</f>
        <v>5.5</v>
      </c>
      <c r="H10" s="78">
        <f t="shared" si="13"/>
        <v>5</v>
      </c>
      <c r="I10" s="78">
        <f t="shared" si="13"/>
        <v>6</v>
      </c>
      <c r="J10" s="77" t="str">
        <f t="shared" si="3"/>
        <v/>
      </c>
      <c r="K10" s="77">
        <f t="shared" si="4"/>
        <v>0</v>
      </c>
      <c r="L10" s="79">
        <f t="shared" si="5"/>
        <v>11</v>
      </c>
      <c r="M10" s="80">
        <f t="shared" si="6"/>
        <v>11</v>
      </c>
    </row>
    <row r="11">
      <c r="A11" s="76">
        <f>Worksheet!A11</f>
        <v>23201093</v>
      </c>
      <c r="B11" s="58" t="str">
        <f>Worksheet!B11</f>
        <v>S.A.Rahman</v>
      </c>
      <c r="C11" s="77">
        <v>4.0</v>
      </c>
      <c r="D11" s="77">
        <v>6.0</v>
      </c>
      <c r="E11" s="77">
        <v>6.0</v>
      </c>
      <c r="F11" s="77">
        <v>10.0</v>
      </c>
      <c r="G11" s="78">
        <f t="shared" ref="G11:I11" si="14">C11</f>
        <v>4</v>
      </c>
      <c r="H11" s="78">
        <f t="shared" si="14"/>
        <v>6</v>
      </c>
      <c r="I11" s="78">
        <f t="shared" si="14"/>
        <v>6</v>
      </c>
      <c r="J11" s="77">
        <f t="shared" si="3"/>
        <v>10</v>
      </c>
      <c r="K11" s="77">
        <f t="shared" si="4"/>
        <v>0</v>
      </c>
      <c r="L11" s="79">
        <f t="shared" si="5"/>
        <v>14.66</v>
      </c>
      <c r="M11" s="80">
        <f t="shared" si="6"/>
        <v>14.66</v>
      </c>
    </row>
    <row r="12">
      <c r="A12" s="76">
        <f>Worksheet!A12</f>
        <v>23201659</v>
      </c>
      <c r="B12" s="58" t="str">
        <f>Worksheet!B12</f>
        <v>Maisha Sanjida Akhi</v>
      </c>
      <c r="C12" s="77">
        <v>7.5</v>
      </c>
      <c r="D12" s="77">
        <v>0.0</v>
      </c>
      <c r="E12" s="77">
        <v>0.0</v>
      </c>
      <c r="F12" s="77">
        <v>0.0</v>
      </c>
      <c r="G12" s="78">
        <f t="shared" ref="G12:I12" si="15">C12</f>
        <v>7.5</v>
      </c>
      <c r="H12" s="78">
        <f t="shared" si="15"/>
        <v>0</v>
      </c>
      <c r="I12" s="78">
        <f t="shared" si="15"/>
        <v>0</v>
      </c>
      <c r="J12" s="77">
        <f t="shared" si="3"/>
        <v>0</v>
      </c>
      <c r="K12" s="77">
        <f t="shared" si="4"/>
        <v>0</v>
      </c>
      <c r="L12" s="79">
        <f t="shared" si="5"/>
        <v>5</v>
      </c>
      <c r="M12" s="80">
        <f t="shared" si="6"/>
        <v>5</v>
      </c>
    </row>
    <row r="13">
      <c r="A13" s="76">
        <f>Worksheet!A13</f>
        <v>23301410</v>
      </c>
      <c r="B13" s="58" t="str">
        <f>Worksheet!B13</f>
        <v>Rafid Shahriar Auvro</v>
      </c>
      <c r="C13" s="77">
        <v>5.0</v>
      </c>
      <c r="D13" s="77">
        <v>0.0</v>
      </c>
      <c r="E13" s="77">
        <v>0.0</v>
      </c>
      <c r="F13" s="77">
        <v>0.0</v>
      </c>
      <c r="G13" s="78">
        <f t="shared" ref="G13:I13" si="16">C13</f>
        <v>5</v>
      </c>
      <c r="H13" s="78">
        <f t="shared" si="16"/>
        <v>0</v>
      </c>
      <c r="I13" s="78">
        <f t="shared" si="16"/>
        <v>0</v>
      </c>
      <c r="J13" s="77">
        <f t="shared" si="3"/>
        <v>0</v>
      </c>
      <c r="K13" s="77">
        <f t="shared" si="4"/>
        <v>0</v>
      </c>
      <c r="L13" s="79">
        <f t="shared" si="5"/>
        <v>3.33</v>
      </c>
      <c r="M13" s="80">
        <f t="shared" si="6"/>
        <v>3.33</v>
      </c>
    </row>
    <row r="14">
      <c r="A14" s="76">
        <f>Worksheet!A14</f>
        <v>23301602</v>
      </c>
      <c r="B14" s="58" t="str">
        <f>Worksheet!B14</f>
        <v>Farhan Anjum</v>
      </c>
      <c r="C14" s="77"/>
      <c r="D14" s="77">
        <v>0.0</v>
      </c>
      <c r="E14" s="77">
        <v>0.0</v>
      </c>
      <c r="F14" s="77">
        <v>0.0</v>
      </c>
      <c r="G14" s="78" t="str">
        <f t="shared" ref="G14:I14" si="17">C14</f>
        <v/>
      </c>
      <c r="H14" s="78">
        <f t="shared" si="17"/>
        <v>0</v>
      </c>
      <c r="I14" s="78">
        <f t="shared" si="17"/>
        <v>0</v>
      </c>
      <c r="J14" s="77">
        <f t="shared" si="3"/>
        <v>0</v>
      </c>
      <c r="K14" s="77">
        <f t="shared" si="4"/>
        <v>0</v>
      </c>
      <c r="L14" s="79">
        <f t="shared" si="5"/>
        <v>0</v>
      </c>
      <c r="M14" s="80">
        <f t="shared" si="6"/>
        <v>0</v>
      </c>
    </row>
    <row r="15">
      <c r="A15" s="76">
        <f>Worksheet!A15</f>
        <v>24101390</v>
      </c>
      <c r="B15" s="58" t="str">
        <f>Worksheet!B15</f>
        <v>P. M. Mushfiqur Shium</v>
      </c>
      <c r="C15" s="77">
        <v>9.0</v>
      </c>
      <c r="D15" s="77">
        <v>8.0</v>
      </c>
      <c r="E15" s="77">
        <v>10.0</v>
      </c>
      <c r="F15" s="77">
        <v>11.0</v>
      </c>
      <c r="G15" s="78">
        <f t="shared" ref="G15:I15" si="18">C15</f>
        <v>9</v>
      </c>
      <c r="H15" s="78">
        <f t="shared" si="18"/>
        <v>8</v>
      </c>
      <c r="I15" s="78">
        <f t="shared" si="18"/>
        <v>10</v>
      </c>
      <c r="J15" s="77">
        <f t="shared" si="3"/>
        <v>10</v>
      </c>
      <c r="K15" s="77">
        <f t="shared" si="4"/>
        <v>1</v>
      </c>
      <c r="L15" s="79">
        <f t="shared" si="5"/>
        <v>19.33</v>
      </c>
      <c r="M15" s="80">
        <f t="shared" si="6"/>
        <v>19.66</v>
      </c>
    </row>
    <row r="16">
      <c r="A16" s="76">
        <f>Worksheet!A16</f>
        <v>24101392</v>
      </c>
      <c r="B16" s="58" t="str">
        <f>Worksheet!B16</f>
        <v>Fardin Islam</v>
      </c>
      <c r="C16" s="77">
        <v>5.5</v>
      </c>
      <c r="D16" s="77">
        <v>8.0</v>
      </c>
      <c r="E16" s="77">
        <v>3.0</v>
      </c>
      <c r="F16" s="77">
        <v>12.0</v>
      </c>
      <c r="G16" s="78">
        <f t="shared" ref="G16:I16" si="19">C16</f>
        <v>5.5</v>
      </c>
      <c r="H16" s="78">
        <f t="shared" si="19"/>
        <v>8</v>
      </c>
      <c r="I16" s="78">
        <f t="shared" si="19"/>
        <v>3</v>
      </c>
      <c r="J16" s="77">
        <f t="shared" si="3"/>
        <v>10</v>
      </c>
      <c r="K16" s="77">
        <f t="shared" si="4"/>
        <v>2</v>
      </c>
      <c r="L16" s="79">
        <f t="shared" si="5"/>
        <v>15.66</v>
      </c>
      <c r="M16" s="80">
        <f t="shared" si="6"/>
        <v>16.33</v>
      </c>
    </row>
    <row r="17">
      <c r="A17" s="76">
        <f>Worksheet!A17</f>
        <v>24101431</v>
      </c>
      <c r="B17" s="58" t="str">
        <f>Worksheet!B17</f>
        <v>Raheeb Al Zabir</v>
      </c>
      <c r="C17" s="77">
        <v>4.5</v>
      </c>
      <c r="D17" s="77">
        <v>7.0</v>
      </c>
      <c r="E17" s="77">
        <v>7.0</v>
      </c>
      <c r="F17" s="77">
        <v>11.0</v>
      </c>
      <c r="G17" s="78">
        <f t="shared" ref="G17:I17" si="20">C17</f>
        <v>4.5</v>
      </c>
      <c r="H17" s="78">
        <f t="shared" si="20"/>
        <v>7</v>
      </c>
      <c r="I17" s="78">
        <f t="shared" si="20"/>
        <v>7</v>
      </c>
      <c r="J17" s="77">
        <f t="shared" si="3"/>
        <v>10</v>
      </c>
      <c r="K17" s="77">
        <f t="shared" si="4"/>
        <v>1</v>
      </c>
      <c r="L17" s="79">
        <f t="shared" si="5"/>
        <v>16</v>
      </c>
      <c r="M17" s="80">
        <f t="shared" si="6"/>
        <v>16.33</v>
      </c>
    </row>
    <row r="18">
      <c r="A18" s="76">
        <f>Worksheet!A18</f>
        <v>24101442</v>
      </c>
      <c r="B18" s="58" t="str">
        <f>Worksheet!B18</f>
        <v>Abdullah Al Noman</v>
      </c>
      <c r="C18" s="77">
        <v>4.5</v>
      </c>
      <c r="D18" s="77">
        <v>8.0</v>
      </c>
      <c r="E18" s="77">
        <v>7.0</v>
      </c>
      <c r="F18" s="77">
        <v>1.0</v>
      </c>
      <c r="G18" s="78">
        <f t="shared" ref="G18:I18" si="21">C18</f>
        <v>4.5</v>
      </c>
      <c r="H18" s="78">
        <f t="shared" si="21"/>
        <v>8</v>
      </c>
      <c r="I18" s="78">
        <f t="shared" si="21"/>
        <v>7</v>
      </c>
      <c r="J18" s="77">
        <v>10.0</v>
      </c>
      <c r="K18" s="77">
        <f t="shared" si="4"/>
        <v>0</v>
      </c>
      <c r="L18" s="79">
        <f t="shared" si="5"/>
        <v>16.66</v>
      </c>
      <c r="M18" s="80">
        <f t="shared" si="6"/>
        <v>16.66</v>
      </c>
    </row>
    <row r="19">
      <c r="A19" s="76">
        <f>Worksheet!A19</f>
        <v>24121353</v>
      </c>
      <c r="B19" s="58" t="str">
        <f>Worksheet!B19</f>
        <v>Ayatullah Osama Khan</v>
      </c>
      <c r="C19" s="77">
        <v>9.0</v>
      </c>
      <c r="D19" s="77">
        <v>5.0</v>
      </c>
      <c r="E19" s="77">
        <v>6.0</v>
      </c>
      <c r="F19" s="77">
        <v>8.0</v>
      </c>
      <c r="G19" s="78">
        <f t="shared" ref="G19:I19" si="22">C19</f>
        <v>9</v>
      </c>
      <c r="H19" s="78">
        <f t="shared" si="22"/>
        <v>5</v>
      </c>
      <c r="I19" s="78">
        <f t="shared" si="22"/>
        <v>6</v>
      </c>
      <c r="J19" s="77">
        <f t="shared" ref="J19:J37" si="24">if(F19&lt;10,F19,10)</f>
        <v>8</v>
      </c>
      <c r="K19" s="77">
        <f t="shared" si="4"/>
        <v>0</v>
      </c>
      <c r="L19" s="79">
        <f t="shared" si="5"/>
        <v>15.33</v>
      </c>
      <c r="M19" s="80">
        <f t="shared" si="6"/>
        <v>15.33</v>
      </c>
    </row>
    <row r="20">
      <c r="A20" s="76">
        <f>Worksheet!A20</f>
        <v>24141008</v>
      </c>
      <c r="B20" s="58" t="str">
        <f>Worksheet!B20</f>
        <v>Ashvin Al Afroz</v>
      </c>
      <c r="C20" s="77">
        <v>5.0</v>
      </c>
      <c r="D20" s="77">
        <v>0.0</v>
      </c>
      <c r="E20" s="77">
        <v>0.0</v>
      </c>
      <c r="F20" s="77">
        <v>0.0</v>
      </c>
      <c r="G20" s="78">
        <f t="shared" ref="G20:I20" si="23">C20</f>
        <v>5</v>
      </c>
      <c r="H20" s="78">
        <f t="shared" si="23"/>
        <v>0</v>
      </c>
      <c r="I20" s="78">
        <f t="shared" si="23"/>
        <v>0</v>
      </c>
      <c r="J20" s="77">
        <f t="shared" si="24"/>
        <v>0</v>
      </c>
      <c r="K20" s="77">
        <f t="shared" si="4"/>
        <v>0</v>
      </c>
      <c r="L20" s="79">
        <f t="shared" si="5"/>
        <v>3.33</v>
      </c>
      <c r="M20" s="80">
        <f t="shared" si="6"/>
        <v>3.33</v>
      </c>
    </row>
    <row r="21">
      <c r="A21" s="76">
        <f>Worksheet!A21</f>
        <v>24141155</v>
      </c>
      <c r="B21" s="58" t="str">
        <f>Worksheet!B21</f>
        <v>Md. Abrar Mahib Pritom</v>
      </c>
      <c r="C21" s="77">
        <v>3.5</v>
      </c>
      <c r="D21" s="77">
        <v>0.0</v>
      </c>
      <c r="E21" s="77">
        <v>0.0</v>
      </c>
      <c r="F21" s="77">
        <v>0.0</v>
      </c>
      <c r="G21" s="78">
        <f t="shared" ref="G21:I21" si="25">C21</f>
        <v>3.5</v>
      </c>
      <c r="H21" s="78">
        <f t="shared" si="25"/>
        <v>0</v>
      </c>
      <c r="I21" s="78">
        <f t="shared" si="25"/>
        <v>0</v>
      </c>
      <c r="J21" s="77">
        <f t="shared" si="24"/>
        <v>0</v>
      </c>
      <c r="K21" s="77">
        <f t="shared" si="4"/>
        <v>0</v>
      </c>
      <c r="L21" s="79">
        <f t="shared" si="5"/>
        <v>2.33</v>
      </c>
      <c r="M21" s="80">
        <f t="shared" si="6"/>
        <v>2.33</v>
      </c>
    </row>
    <row r="22">
      <c r="A22" s="76">
        <f>Worksheet!A22</f>
        <v>24201090</v>
      </c>
      <c r="B22" s="58" t="str">
        <f>Worksheet!B22</f>
        <v>Nafis As - Sami</v>
      </c>
      <c r="C22" s="77">
        <v>10.0</v>
      </c>
      <c r="D22" s="77">
        <v>7.0</v>
      </c>
      <c r="E22" s="77">
        <v>10.0</v>
      </c>
      <c r="F22" s="77">
        <v>14.0</v>
      </c>
      <c r="G22" s="78">
        <f t="shared" ref="G22:I22" si="26">C22</f>
        <v>10</v>
      </c>
      <c r="H22" s="78">
        <f t="shared" si="26"/>
        <v>7</v>
      </c>
      <c r="I22" s="78">
        <f t="shared" si="26"/>
        <v>10</v>
      </c>
      <c r="J22" s="77">
        <f t="shared" si="24"/>
        <v>10</v>
      </c>
      <c r="K22" s="77">
        <f t="shared" si="4"/>
        <v>4</v>
      </c>
      <c r="L22" s="79">
        <f t="shared" si="5"/>
        <v>20</v>
      </c>
      <c r="M22" s="80">
        <f t="shared" si="6"/>
        <v>20</v>
      </c>
    </row>
    <row r="23">
      <c r="A23" s="76">
        <f>Worksheet!A23</f>
        <v>24201165</v>
      </c>
      <c r="B23" s="58" t="str">
        <f>Worksheet!B23</f>
        <v>Jahareen Tasmeem</v>
      </c>
      <c r="C23" s="77">
        <v>6.5</v>
      </c>
      <c r="D23" s="77">
        <v>10.0</v>
      </c>
      <c r="E23" s="77">
        <v>10.0</v>
      </c>
      <c r="F23" s="77">
        <v>13.0</v>
      </c>
      <c r="G23" s="78">
        <f t="shared" ref="G23:I23" si="27">C23</f>
        <v>6.5</v>
      </c>
      <c r="H23" s="78">
        <f t="shared" si="27"/>
        <v>10</v>
      </c>
      <c r="I23" s="78">
        <f t="shared" si="27"/>
        <v>10</v>
      </c>
      <c r="J23" s="77">
        <f t="shared" si="24"/>
        <v>10</v>
      </c>
      <c r="K23" s="77">
        <f t="shared" si="4"/>
        <v>3</v>
      </c>
      <c r="L23" s="79">
        <f t="shared" si="5"/>
        <v>20</v>
      </c>
      <c r="M23" s="80">
        <f t="shared" si="6"/>
        <v>20</v>
      </c>
    </row>
    <row r="24">
      <c r="A24" s="76">
        <f>Worksheet!A24</f>
        <v>24201176</v>
      </c>
      <c r="B24" s="58" t="str">
        <f>Worksheet!B24</f>
        <v>Maheer Tajwar</v>
      </c>
      <c r="C24" s="77">
        <v>7.0</v>
      </c>
      <c r="D24" s="77">
        <v>5.0</v>
      </c>
      <c r="E24" s="77">
        <v>8.0</v>
      </c>
      <c r="F24" s="77">
        <v>10.0</v>
      </c>
      <c r="G24" s="78">
        <f t="shared" ref="G24:I24" si="28">C24</f>
        <v>7</v>
      </c>
      <c r="H24" s="78">
        <f t="shared" si="28"/>
        <v>5</v>
      </c>
      <c r="I24" s="78">
        <f t="shared" si="28"/>
        <v>8</v>
      </c>
      <c r="J24" s="77">
        <f t="shared" si="24"/>
        <v>10</v>
      </c>
      <c r="K24" s="77">
        <f t="shared" si="4"/>
        <v>0</v>
      </c>
      <c r="L24" s="79">
        <f t="shared" si="5"/>
        <v>16.66</v>
      </c>
      <c r="M24" s="80">
        <f t="shared" si="6"/>
        <v>16.66</v>
      </c>
    </row>
    <row r="25">
      <c r="A25" s="76">
        <f>Worksheet!A25</f>
        <v>24201193</v>
      </c>
      <c r="B25" s="58" t="str">
        <f>Worksheet!B25</f>
        <v>Md.Fardin Islam</v>
      </c>
      <c r="C25" s="77">
        <v>8.0</v>
      </c>
      <c r="D25" s="77">
        <v>10.0</v>
      </c>
      <c r="E25" s="77">
        <v>7.0</v>
      </c>
      <c r="F25" s="77">
        <v>12.0</v>
      </c>
      <c r="G25" s="78">
        <f t="shared" ref="G25:I25" si="29">C25</f>
        <v>8</v>
      </c>
      <c r="H25" s="78">
        <f t="shared" si="29"/>
        <v>10</v>
      </c>
      <c r="I25" s="78">
        <f t="shared" si="29"/>
        <v>7</v>
      </c>
      <c r="J25" s="77">
        <f t="shared" si="24"/>
        <v>10</v>
      </c>
      <c r="K25" s="77">
        <f t="shared" si="4"/>
        <v>2</v>
      </c>
      <c r="L25" s="79">
        <f t="shared" si="5"/>
        <v>18.66</v>
      </c>
      <c r="M25" s="80">
        <f t="shared" si="6"/>
        <v>19.33</v>
      </c>
    </row>
    <row r="26">
      <c r="A26" s="76">
        <f>Worksheet!A26</f>
        <v>24201199</v>
      </c>
      <c r="B26" s="58" t="str">
        <f>Worksheet!B26</f>
        <v>Faiyaz Rahman</v>
      </c>
      <c r="C26" s="77">
        <v>10.0</v>
      </c>
      <c r="D26" s="77">
        <v>10.0</v>
      </c>
      <c r="E26" s="77">
        <v>10.0</v>
      </c>
      <c r="F26" s="77">
        <v>14.0</v>
      </c>
      <c r="G26" s="78">
        <f t="shared" ref="G26:I26" si="30">C26</f>
        <v>10</v>
      </c>
      <c r="H26" s="78">
        <f t="shared" si="30"/>
        <v>10</v>
      </c>
      <c r="I26" s="78">
        <f t="shared" si="30"/>
        <v>10</v>
      </c>
      <c r="J26" s="77">
        <f t="shared" si="24"/>
        <v>10</v>
      </c>
      <c r="K26" s="77">
        <f t="shared" si="4"/>
        <v>4</v>
      </c>
      <c r="L26" s="79">
        <f t="shared" si="5"/>
        <v>20</v>
      </c>
      <c r="M26" s="80">
        <f t="shared" si="6"/>
        <v>20</v>
      </c>
    </row>
    <row r="27">
      <c r="A27" s="76">
        <f>Worksheet!A27</f>
        <v>24201453</v>
      </c>
      <c r="B27" s="58" t="str">
        <f>Worksheet!B27</f>
        <v>Md. Zayed Khan</v>
      </c>
      <c r="C27" s="77">
        <v>10.0</v>
      </c>
      <c r="D27" s="77">
        <v>0.0</v>
      </c>
      <c r="E27" s="77">
        <v>9.0</v>
      </c>
      <c r="F27" s="77">
        <v>10.0</v>
      </c>
      <c r="G27" s="78">
        <f t="shared" ref="G27:I27" si="31">C27</f>
        <v>10</v>
      </c>
      <c r="H27" s="78">
        <f t="shared" si="31"/>
        <v>0</v>
      </c>
      <c r="I27" s="78">
        <f t="shared" si="31"/>
        <v>9</v>
      </c>
      <c r="J27" s="77">
        <f t="shared" si="24"/>
        <v>10</v>
      </c>
      <c r="K27" s="77">
        <f t="shared" si="4"/>
        <v>0</v>
      </c>
      <c r="L27" s="79">
        <f t="shared" si="5"/>
        <v>19.33</v>
      </c>
      <c r="M27" s="80">
        <f t="shared" si="6"/>
        <v>19.33</v>
      </c>
    </row>
    <row r="28">
      <c r="A28" s="76">
        <f>Worksheet!A28</f>
        <v>24201455</v>
      </c>
      <c r="B28" s="58" t="str">
        <f>Worksheet!B28</f>
        <v>Hossain Tasnim Rumki</v>
      </c>
      <c r="C28" s="77">
        <v>8.0</v>
      </c>
      <c r="D28" s="77">
        <v>10.0</v>
      </c>
      <c r="E28" s="77">
        <v>9.0</v>
      </c>
      <c r="F28" s="77">
        <v>10.0</v>
      </c>
      <c r="G28" s="78">
        <f t="shared" ref="G28:I28" si="32">C28</f>
        <v>8</v>
      </c>
      <c r="H28" s="78">
        <f t="shared" si="32"/>
        <v>10</v>
      </c>
      <c r="I28" s="78">
        <f t="shared" si="32"/>
        <v>9</v>
      </c>
      <c r="J28" s="77">
        <f t="shared" si="24"/>
        <v>10</v>
      </c>
      <c r="K28" s="77">
        <f t="shared" si="4"/>
        <v>0</v>
      </c>
      <c r="L28" s="79">
        <f t="shared" si="5"/>
        <v>19.33</v>
      </c>
      <c r="M28" s="80">
        <f t="shared" si="6"/>
        <v>19.33</v>
      </c>
    </row>
    <row r="29">
      <c r="A29" s="76">
        <f>Worksheet!A29</f>
        <v>24204199</v>
      </c>
      <c r="B29" s="58" t="str">
        <f>Worksheet!B29</f>
        <v>Abdul Mumit Bin Jafor</v>
      </c>
      <c r="C29" s="77">
        <v>6.5</v>
      </c>
      <c r="D29" s="77">
        <v>5.0</v>
      </c>
      <c r="E29" s="77">
        <v>8.0</v>
      </c>
      <c r="F29" s="77">
        <v>10.0</v>
      </c>
      <c r="G29" s="78">
        <f t="shared" ref="G29:I29" si="33">C29</f>
        <v>6.5</v>
      </c>
      <c r="H29" s="78">
        <f t="shared" si="33"/>
        <v>5</v>
      </c>
      <c r="I29" s="78">
        <f t="shared" si="33"/>
        <v>8</v>
      </c>
      <c r="J29" s="77">
        <f t="shared" si="24"/>
        <v>10</v>
      </c>
      <c r="K29" s="77">
        <f t="shared" si="4"/>
        <v>0</v>
      </c>
      <c r="L29" s="79">
        <f t="shared" si="5"/>
        <v>16.33</v>
      </c>
      <c r="M29" s="80">
        <f t="shared" si="6"/>
        <v>16.33</v>
      </c>
    </row>
    <row r="30">
      <c r="A30" s="76">
        <f>Worksheet!A30</f>
        <v>24301002</v>
      </c>
      <c r="B30" s="58" t="str">
        <f>Worksheet!B30</f>
        <v>Wamiza Mehjabin</v>
      </c>
      <c r="C30" s="77">
        <v>6.0</v>
      </c>
      <c r="D30" s="77">
        <v>5.0</v>
      </c>
      <c r="E30" s="77">
        <v>7.0</v>
      </c>
      <c r="F30" s="77"/>
      <c r="G30" s="78">
        <f t="shared" ref="G30:I30" si="34">C30</f>
        <v>6</v>
      </c>
      <c r="H30" s="78">
        <f t="shared" si="34"/>
        <v>5</v>
      </c>
      <c r="I30" s="78">
        <f t="shared" si="34"/>
        <v>7</v>
      </c>
      <c r="J30" s="77" t="str">
        <f t="shared" si="24"/>
        <v/>
      </c>
      <c r="K30" s="77">
        <f t="shared" si="4"/>
        <v>0</v>
      </c>
      <c r="L30" s="79">
        <f t="shared" si="5"/>
        <v>12</v>
      </c>
      <c r="M30" s="80">
        <f t="shared" si="6"/>
        <v>12</v>
      </c>
    </row>
    <row r="31">
      <c r="A31" s="76">
        <f>Worksheet!A31</f>
        <v>24301003</v>
      </c>
      <c r="B31" s="58" t="str">
        <f>Worksheet!B31</f>
        <v>Shahir Sharaf Chowdhury</v>
      </c>
      <c r="C31" s="77">
        <v>9.5</v>
      </c>
      <c r="D31" s="77">
        <v>5.0</v>
      </c>
      <c r="E31" s="77"/>
      <c r="F31" s="77">
        <v>3.0</v>
      </c>
      <c r="G31" s="78">
        <f t="shared" ref="G31:I31" si="35">C31</f>
        <v>9.5</v>
      </c>
      <c r="H31" s="78">
        <f t="shared" si="35"/>
        <v>5</v>
      </c>
      <c r="I31" s="78" t="str">
        <f t="shared" si="35"/>
        <v/>
      </c>
      <c r="J31" s="77">
        <f t="shared" si="24"/>
        <v>3</v>
      </c>
      <c r="K31" s="77">
        <f t="shared" si="4"/>
        <v>0</v>
      </c>
      <c r="L31" s="79">
        <f t="shared" si="5"/>
        <v>11.66</v>
      </c>
      <c r="M31" s="80">
        <f t="shared" si="6"/>
        <v>11.66</v>
      </c>
    </row>
    <row r="32">
      <c r="A32" s="76">
        <f>Worksheet!A32</f>
        <v>24301116</v>
      </c>
      <c r="B32" s="58" t="str">
        <f>Worksheet!B32</f>
        <v>Mahajabin Islam</v>
      </c>
      <c r="C32" s="77">
        <v>10.0</v>
      </c>
      <c r="D32" s="77">
        <v>10.0</v>
      </c>
      <c r="E32" s="77">
        <v>8.0</v>
      </c>
      <c r="F32" s="77">
        <v>10.0</v>
      </c>
      <c r="G32" s="78">
        <f t="shared" ref="G32:I32" si="36">C32</f>
        <v>10</v>
      </c>
      <c r="H32" s="78">
        <f t="shared" si="36"/>
        <v>10</v>
      </c>
      <c r="I32" s="78">
        <f t="shared" si="36"/>
        <v>8</v>
      </c>
      <c r="J32" s="77">
        <f t="shared" si="24"/>
        <v>10</v>
      </c>
      <c r="K32" s="77">
        <f t="shared" si="4"/>
        <v>0</v>
      </c>
      <c r="L32" s="79">
        <f t="shared" si="5"/>
        <v>20</v>
      </c>
      <c r="M32" s="80">
        <f t="shared" si="6"/>
        <v>20</v>
      </c>
    </row>
    <row r="33">
      <c r="A33" s="76">
        <f>Worksheet!A33</f>
        <v>24301173</v>
      </c>
      <c r="B33" s="58" t="str">
        <f>Worksheet!B33</f>
        <v>Shahida Rahman</v>
      </c>
      <c r="C33" s="77">
        <v>7.0</v>
      </c>
      <c r="D33" s="77">
        <v>10.0</v>
      </c>
      <c r="E33" s="77">
        <v>10.0</v>
      </c>
      <c r="F33" s="77">
        <v>10.0</v>
      </c>
      <c r="G33" s="78">
        <f t="shared" ref="G33:I33" si="37">C33</f>
        <v>7</v>
      </c>
      <c r="H33" s="78">
        <f t="shared" si="37"/>
        <v>10</v>
      </c>
      <c r="I33" s="78">
        <f t="shared" si="37"/>
        <v>10</v>
      </c>
      <c r="J33" s="77">
        <f t="shared" si="24"/>
        <v>10</v>
      </c>
      <c r="K33" s="77">
        <f t="shared" si="4"/>
        <v>0</v>
      </c>
      <c r="L33" s="79">
        <f t="shared" si="5"/>
        <v>20</v>
      </c>
      <c r="M33" s="80">
        <f t="shared" si="6"/>
        <v>20</v>
      </c>
    </row>
    <row r="34">
      <c r="A34" s="76">
        <f>Worksheet!A34</f>
        <v>24301197</v>
      </c>
      <c r="B34" s="58" t="str">
        <f>Worksheet!B34</f>
        <v>Samin Yasar Nafi</v>
      </c>
      <c r="C34" s="77">
        <v>6.5</v>
      </c>
      <c r="D34" s="77">
        <v>0.0</v>
      </c>
      <c r="E34" s="77">
        <v>0.0</v>
      </c>
      <c r="F34" s="77">
        <v>0.0</v>
      </c>
      <c r="G34" s="78">
        <f t="shared" ref="G34:I34" si="38">C34</f>
        <v>6.5</v>
      </c>
      <c r="H34" s="78">
        <f t="shared" si="38"/>
        <v>0</v>
      </c>
      <c r="I34" s="78">
        <f t="shared" si="38"/>
        <v>0</v>
      </c>
      <c r="J34" s="77">
        <f t="shared" si="24"/>
        <v>0</v>
      </c>
      <c r="K34" s="77">
        <f t="shared" si="4"/>
        <v>0</v>
      </c>
      <c r="L34" s="79">
        <f t="shared" si="5"/>
        <v>4.33</v>
      </c>
      <c r="M34" s="80">
        <f t="shared" si="6"/>
        <v>4.33</v>
      </c>
    </row>
    <row r="35">
      <c r="A35" s="76">
        <f>Worksheet!A35</f>
        <v>24301282</v>
      </c>
      <c r="B35" s="58" t="str">
        <f>Worksheet!B35</f>
        <v>Samin Nuzaima</v>
      </c>
      <c r="C35" s="77">
        <v>7.0</v>
      </c>
      <c r="D35" s="77">
        <v>8.0</v>
      </c>
      <c r="E35" s="77">
        <v>6.0</v>
      </c>
      <c r="F35" s="77">
        <v>10.0</v>
      </c>
      <c r="G35" s="78">
        <f t="shared" ref="G35:I35" si="39">C35</f>
        <v>7</v>
      </c>
      <c r="H35" s="78">
        <f t="shared" si="39"/>
        <v>8</v>
      </c>
      <c r="I35" s="78">
        <f t="shared" si="39"/>
        <v>6</v>
      </c>
      <c r="J35" s="77">
        <f t="shared" si="24"/>
        <v>10</v>
      </c>
      <c r="K35" s="77">
        <f t="shared" si="4"/>
        <v>0</v>
      </c>
      <c r="L35" s="81">
        <f t="shared" si="5"/>
        <v>16.66</v>
      </c>
      <c r="M35" s="82">
        <f t="shared" si="6"/>
        <v>16.66</v>
      </c>
    </row>
    <row r="36">
      <c r="A36" s="76">
        <f>Worksheet!A36</f>
        <v>24321232</v>
      </c>
      <c r="B36" s="58" t="str">
        <f>Worksheet!B36</f>
        <v>Kazi Yasin Hridoy</v>
      </c>
      <c r="C36" s="77">
        <v>10.0</v>
      </c>
      <c r="D36" s="77">
        <v>10.0</v>
      </c>
      <c r="E36" s="77">
        <v>10.0</v>
      </c>
      <c r="F36" s="77">
        <v>8.0</v>
      </c>
      <c r="G36" s="78">
        <f t="shared" ref="G36:I36" si="40">C36</f>
        <v>10</v>
      </c>
      <c r="H36" s="78">
        <f t="shared" si="40"/>
        <v>10</v>
      </c>
      <c r="I36" s="78">
        <f t="shared" si="40"/>
        <v>10</v>
      </c>
      <c r="J36" s="77">
        <f t="shared" si="24"/>
        <v>8</v>
      </c>
      <c r="K36" s="77">
        <f t="shared" si="4"/>
        <v>0</v>
      </c>
      <c r="L36" s="81">
        <f t="shared" si="5"/>
        <v>20</v>
      </c>
      <c r="M36" s="82">
        <f t="shared" si="6"/>
        <v>20</v>
      </c>
    </row>
    <row r="37">
      <c r="A37" s="76">
        <f>Worksheet!A37</f>
        <v>24321234</v>
      </c>
      <c r="B37" s="69" t="str">
        <f>Worksheet!B37</f>
        <v>Al Jayed Rup</v>
      </c>
      <c r="C37" s="77">
        <v>7.0</v>
      </c>
      <c r="D37" s="77">
        <v>7.0</v>
      </c>
      <c r="E37" s="77">
        <v>7.0</v>
      </c>
      <c r="F37" s="77">
        <v>14.0</v>
      </c>
      <c r="G37" s="78">
        <f t="shared" ref="G37:I37" si="41">C37</f>
        <v>7</v>
      </c>
      <c r="H37" s="78">
        <f t="shared" si="41"/>
        <v>7</v>
      </c>
      <c r="I37" s="78">
        <f t="shared" si="41"/>
        <v>7</v>
      </c>
      <c r="J37" s="77">
        <f t="shared" si="24"/>
        <v>10</v>
      </c>
      <c r="K37" s="77">
        <f t="shared" si="4"/>
        <v>4</v>
      </c>
      <c r="L37" s="79">
        <f t="shared" si="5"/>
        <v>16</v>
      </c>
      <c r="M37" s="80">
        <f t="shared" si="6"/>
        <v>17.33</v>
      </c>
    </row>
    <row r="38">
      <c r="B38" s="20"/>
    </row>
    <row r="39">
      <c r="B39" s="20"/>
    </row>
    <row r="40">
      <c r="B40" s="20"/>
    </row>
    <row r="41">
      <c r="B41" s="20"/>
    </row>
    <row r="42">
      <c r="B42" s="20"/>
    </row>
    <row r="43">
      <c r="B43" s="20"/>
    </row>
    <row r="44">
      <c r="B44" s="20"/>
    </row>
    <row r="45">
      <c r="B45" s="20"/>
    </row>
    <row r="46">
      <c r="B46" s="20"/>
    </row>
    <row r="47">
      <c r="B47" s="20"/>
    </row>
    <row r="48">
      <c r="B48" s="20"/>
    </row>
    <row r="49">
      <c r="B49" s="20"/>
    </row>
    <row r="50">
      <c r="B50" s="20"/>
    </row>
    <row r="51">
      <c r="B51" s="20"/>
    </row>
    <row r="52">
      <c r="B52" s="20"/>
    </row>
    <row r="53">
      <c r="B53" s="20"/>
    </row>
    <row r="54">
      <c r="B54" s="20"/>
    </row>
    <row r="55">
      <c r="B55" s="20"/>
    </row>
    <row r="56">
      <c r="B56" s="20"/>
    </row>
    <row r="57">
      <c r="B57" s="20"/>
    </row>
    <row r="58">
      <c r="B58" s="20"/>
    </row>
    <row r="59">
      <c r="B59" s="20"/>
    </row>
    <row r="60">
      <c r="B60" s="20"/>
    </row>
    <row r="61">
      <c r="B61" s="20"/>
    </row>
    <row r="62">
      <c r="B62" s="20"/>
    </row>
    <row r="63">
      <c r="B63" s="20"/>
    </row>
    <row r="64">
      <c r="B64" s="20"/>
    </row>
    <row r="65">
      <c r="B65" s="20"/>
    </row>
    <row r="66">
      <c r="B66" s="20"/>
    </row>
    <row r="67">
      <c r="B67" s="20"/>
    </row>
    <row r="68">
      <c r="B68" s="20"/>
    </row>
    <row r="69">
      <c r="B69" s="20"/>
    </row>
    <row r="70">
      <c r="B70" s="20"/>
    </row>
    <row r="71">
      <c r="B71" s="20"/>
    </row>
    <row r="72">
      <c r="B72" s="20"/>
    </row>
    <row r="73">
      <c r="B73" s="20"/>
    </row>
    <row r="74">
      <c r="B74" s="20"/>
    </row>
    <row r="75">
      <c r="B75" s="20"/>
    </row>
    <row r="76">
      <c r="B76" s="20"/>
    </row>
    <row r="77">
      <c r="B77" s="20"/>
    </row>
    <row r="78">
      <c r="B78" s="20"/>
    </row>
    <row r="79">
      <c r="B79" s="20"/>
    </row>
    <row r="80">
      <c r="B80" s="20"/>
    </row>
    <row r="81">
      <c r="B81" s="20"/>
    </row>
    <row r="82">
      <c r="B82" s="20"/>
    </row>
    <row r="83">
      <c r="B83" s="20"/>
    </row>
    <row r="84">
      <c r="B84" s="20"/>
    </row>
    <row r="85">
      <c r="B85" s="20"/>
    </row>
    <row r="86">
      <c r="B86" s="20"/>
    </row>
    <row r="87">
      <c r="B87" s="20"/>
    </row>
    <row r="88">
      <c r="B88" s="20"/>
    </row>
    <row r="89">
      <c r="B89" s="20"/>
    </row>
    <row r="90">
      <c r="B90" s="20"/>
    </row>
    <row r="91">
      <c r="B91" s="20"/>
    </row>
    <row r="92">
      <c r="B92" s="20"/>
    </row>
    <row r="93">
      <c r="B93" s="20"/>
    </row>
    <row r="94">
      <c r="B94" s="20"/>
    </row>
    <row r="95">
      <c r="B95" s="20"/>
    </row>
    <row r="96">
      <c r="B96" s="20"/>
    </row>
    <row r="97">
      <c r="B97" s="20"/>
    </row>
    <row r="98">
      <c r="B98" s="20"/>
    </row>
    <row r="99">
      <c r="B99" s="20"/>
    </row>
    <row r="100">
      <c r="B100" s="20"/>
    </row>
    <row r="101">
      <c r="B101" s="20"/>
    </row>
    <row r="102">
      <c r="B102" s="20"/>
    </row>
    <row r="103">
      <c r="B103" s="20"/>
    </row>
    <row r="104">
      <c r="B104" s="20"/>
    </row>
    <row r="105">
      <c r="B105" s="20"/>
    </row>
    <row r="106">
      <c r="B106" s="20"/>
    </row>
    <row r="107">
      <c r="B107" s="20"/>
    </row>
    <row r="108">
      <c r="B108" s="20"/>
    </row>
    <row r="109">
      <c r="B109" s="20"/>
    </row>
    <row r="110">
      <c r="B110" s="20"/>
    </row>
    <row r="111">
      <c r="B111" s="20"/>
    </row>
    <row r="112">
      <c r="B112" s="20"/>
    </row>
    <row r="113">
      <c r="B113" s="20"/>
    </row>
    <row r="114">
      <c r="B114" s="20"/>
    </row>
    <row r="115">
      <c r="B115" s="20"/>
    </row>
    <row r="116">
      <c r="B116" s="20"/>
    </row>
    <row r="117">
      <c r="B117" s="20"/>
    </row>
    <row r="118">
      <c r="B118" s="20"/>
    </row>
    <row r="119">
      <c r="B119" s="20"/>
    </row>
    <row r="120">
      <c r="B120" s="20"/>
    </row>
    <row r="121">
      <c r="B121" s="20"/>
    </row>
    <row r="122">
      <c r="B122" s="20"/>
    </row>
    <row r="123">
      <c r="B123" s="20"/>
    </row>
    <row r="124">
      <c r="B124" s="20"/>
    </row>
    <row r="125">
      <c r="B125" s="20"/>
    </row>
    <row r="126">
      <c r="B126" s="20"/>
    </row>
    <row r="127">
      <c r="B127" s="20"/>
    </row>
    <row r="128">
      <c r="B128" s="20"/>
    </row>
    <row r="129">
      <c r="B129" s="20"/>
    </row>
    <row r="130">
      <c r="B130" s="20"/>
    </row>
    <row r="131">
      <c r="B131" s="20"/>
    </row>
    <row r="132">
      <c r="B132" s="20"/>
    </row>
    <row r="133">
      <c r="B133" s="20"/>
    </row>
    <row r="134">
      <c r="B134" s="20"/>
    </row>
    <row r="135">
      <c r="B135" s="20"/>
    </row>
    <row r="136">
      <c r="B136" s="20"/>
    </row>
    <row r="137">
      <c r="B137" s="20"/>
    </row>
    <row r="138">
      <c r="B138" s="20"/>
    </row>
    <row r="139">
      <c r="B139" s="20"/>
    </row>
    <row r="140">
      <c r="B140" s="20"/>
    </row>
    <row r="141">
      <c r="B141" s="20"/>
    </row>
    <row r="142">
      <c r="B142" s="20"/>
    </row>
    <row r="143">
      <c r="B143" s="20"/>
    </row>
    <row r="144">
      <c r="B144" s="20"/>
    </row>
    <row r="145">
      <c r="B145" s="20"/>
    </row>
    <row r="146">
      <c r="B146" s="20"/>
    </row>
    <row r="147">
      <c r="B147" s="20"/>
    </row>
    <row r="148">
      <c r="B148" s="20"/>
    </row>
    <row r="149">
      <c r="B149" s="20"/>
    </row>
    <row r="150">
      <c r="B150" s="20"/>
    </row>
    <row r="151">
      <c r="B151" s="20"/>
    </row>
    <row r="152">
      <c r="B152" s="20"/>
    </row>
    <row r="153">
      <c r="B153" s="20"/>
    </row>
    <row r="154">
      <c r="B154" s="20"/>
    </row>
    <row r="155">
      <c r="B155" s="20"/>
    </row>
    <row r="156">
      <c r="B156" s="20"/>
    </row>
    <row r="157">
      <c r="B157" s="20"/>
    </row>
    <row r="158">
      <c r="B158" s="20"/>
    </row>
    <row r="159">
      <c r="B159" s="20"/>
    </row>
    <row r="160">
      <c r="B160" s="20"/>
    </row>
    <row r="161">
      <c r="B161" s="20"/>
    </row>
    <row r="162">
      <c r="B162" s="20"/>
    </row>
    <row r="163">
      <c r="B163" s="20"/>
    </row>
    <row r="164">
      <c r="B164" s="20"/>
    </row>
    <row r="165">
      <c r="B165" s="20"/>
    </row>
    <row r="166">
      <c r="B166" s="20"/>
    </row>
    <row r="167">
      <c r="B167" s="20"/>
    </row>
    <row r="168">
      <c r="B168" s="20"/>
    </row>
    <row r="169">
      <c r="B169" s="20"/>
    </row>
    <row r="170">
      <c r="B170" s="20"/>
    </row>
    <row r="171">
      <c r="B171" s="20"/>
    </row>
    <row r="172">
      <c r="B172" s="20"/>
    </row>
    <row r="173">
      <c r="B173" s="20"/>
    </row>
    <row r="174">
      <c r="B174" s="20"/>
    </row>
    <row r="175">
      <c r="B175" s="20"/>
    </row>
    <row r="176">
      <c r="B176" s="20"/>
    </row>
    <row r="177">
      <c r="B177" s="20"/>
    </row>
    <row r="178">
      <c r="B178" s="20"/>
    </row>
    <row r="179">
      <c r="B179" s="20"/>
    </row>
    <row r="180">
      <c r="B180" s="20"/>
    </row>
    <row r="181">
      <c r="B181" s="20"/>
    </row>
    <row r="182">
      <c r="B182" s="20"/>
    </row>
    <row r="183">
      <c r="B183" s="20"/>
    </row>
    <row r="184">
      <c r="B184" s="20"/>
    </row>
    <row r="185">
      <c r="B185" s="20"/>
    </row>
    <row r="186">
      <c r="B186" s="20"/>
    </row>
    <row r="187">
      <c r="B187" s="20"/>
    </row>
    <row r="188">
      <c r="B188" s="20"/>
    </row>
    <row r="189">
      <c r="B189" s="20"/>
    </row>
    <row r="190">
      <c r="B190" s="20"/>
    </row>
    <row r="191">
      <c r="B191" s="20"/>
    </row>
    <row r="192">
      <c r="B192" s="20"/>
    </row>
    <row r="193">
      <c r="B193" s="20"/>
    </row>
    <row r="194">
      <c r="B194" s="20"/>
    </row>
    <row r="195">
      <c r="B195" s="20"/>
    </row>
    <row r="196">
      <c r="B196" s="20"/>
    </row>
    <row r="197">
      <c r="B197" s="20"/>
    </row>
    <row r="198">
      <c r="B198" s="20"/>
    </row>
    <row r="199">
      <c r="B199" s="20"/>
    </row>
    <row r="200">
      <c r="B200" s="20"/>
    </row>
    <row r="201">
      <c r="B201" s="20"/>
    </row>
    <row r="202">
      <c r="B202" s="20"/>
    </row>
    <row r="203">
      <c r="B203" s="20"/>
    </row>
    <row r="204">
      <c r="B204" s="20"/>
    </row>
    <row r="205">
      <c r="B205" s="20"/>
    </row>
    <row r="206">
      <c r="B206" s="20"/>
    </row>
    <row r="207">
      <c r="B207" s="20"/>
    </row>
    <row r="208">
      <c r="B208" s="20"/>
    </row>
    <row r="209">
      <c r="B209" s="20"/>
    </row>
    <row r="210">
      <c r="B210" s="20"/>
    </row>
    <row r="211">
      <c r="B211" s="20"/>
    </row>
    <row r="212">
      <c r="B212" s="20"/>
    </row>
    <row r="213">
      <c r="B213" s="20"/>
    </row>
    <row r="214">
      <c r="B214" s="20"/>
    </row>
    <row r="215">
      <c r="B215" s="20"/>
    </row>
    <row r="216">
      <c r="B216" s="20"/>
    </row>
    <row r="217">
      <c r="B217" s="20"/>
    </row>
    <row r="218">
      <c r="B218" s="20"/>
    </row>
    <row r="219">
      <c r="B219" s="20"/>
    </row>
    <row r="220">
      <c r="B220" s="20"/>
    </row>
    <row r="221">
      <c r="B221" s="20"/>
    </row>
    <row r="222">
      <c r="B222" s="20"/>
    </row>
    <row r="223">
      <c r="B223" s="20"/>
    </row>
    <row r="224">
      <c r="B224" s="20"/>
    </row>
    <row r="225">
      <c r="B225" s="20"/>
    </row>
    <row r="226">
      <c r="B226" s="20"/>
    </row>
    <row r="227">
      <c r="B227" s="20"/>
    </row>
    <row r="228">
      <c r="B228" s="20"/>
    </row>
    <row r="229">
      <c r="B229" s="20"/>
    </row>
    <row r="230">
      <c r="B230" s="20"/>
    </row>
    <row r="231">
      <c r="B231" s="20"/>
    </row>
    <row r="232">
      <c r="B232" s="20"/>
    </row>
    <row r="233">
      <c r="B233" s="20"/>
    </row>
    <row r="234">
      <c r="B234" s="20"/>
    </row>
    <row r="235">
      <c r="B235" s="20"/>
    </row>
    <row r="236">
      <c r="B236" s="20"/>
    </row>
    <row r="237">
      <c r="B237" s="20"/>
    </row>
    <row r="238">
      <c r="B238" s="20"/>
    </row>
    <row r="239">
      <c r="B239" s="20"/>
    </row>
    <row r="240">
      <c r="B240" s="20"/>
    </row>
    <row r="241">
      <c r="B241" s="20"/>
    </row>
    <row r="242">
      <c r="B242" s="20"/>
    </row>
    <row r="243">
      <c r="B243" s="20"/>
    </row>
    <row r="244">
      <c r="B244" s="20"/>
    </row>
    <row r="245">
      <c r="B245" s="20"/>
    </row>
    <row r="246">
      <c r="B246" s="20"/>
    </row>
    <row r="247">
      <c r="B247" s="20"/>
    </row>
    <row r="248">
      <c r="B248" s="20"/>
    </row>
    <row r="249">
      <c r="B249" s="20"/>
    </row>
    <row r="250">
      <c r="B250" s="20"/>
    </row>
    <row r="251">
      <c r="B251" s="20"/>
    </row>
    <row r="252">
      <c r="B252" s="20"/>
    </row>
    <row r="253">
      <c r="B253" s="20"/>
    </row>
    <row r="254">
      <c r="B254" s="20"/>
    </row>
    <row r="255">
      <c r="B255" s="20"/>
    </row>
    <row r="256">
      <c r="B256" s="20"/>
    </row>
    <row r="257">
      <c r="B257" s="20"/>
    </row>
    <row r="258">
      <c r="B258" s="20"/>
    </row>
    <row r="259">
      <c r="B259" s="20"/>
    </row>
    <row r="260">
      <c r="B260" s="20"/>
    </row>
    <row r="261">
      <c r="B261" s="20"/>
    </row>
    <row r="262">
      <c r="B262" s="20"/>
    </row>
    <row r="263">
      <c r="B263" s="20"/>
    </row>
    <row r="264">
      <c r="B264" s="20"/>
    </row>
    <row r="265">
      <c r="B265" s="20"/>
    </row>
    <row r="266">
      <c r="B266" s="20"/>
    </row>
    <row r="267">
      <c r="B267" s="20"/>
    </row>
    <row r="268">
      <c r="B268" s="20"/>
    </row>
    <row r="269">
      <c r="B269" s="20"/>
    </row>
    <row r="270">
      <c r="B270" s="20"/>
    </row>
    <row r="271">
      <c r="B271" s="20"/>
    </row>
    <row r="272">
      <c r="B272" s="20"/>
    </row>
    <row r="273">
      <c r="B273" s="20"/>
    </row>
    <row r="274">
      <c r="B274" s="20"/>
    </row>
    <row r="275">
      <c r="B275" s="20"/>
    </row>
    <row r="276">
      <c r="B276" s="20"/>
    </row>
    <row r="277">
      <c r="B277" s="20"/>
    </row>
    <row r="278">
      <c r="B278" s="20"/>
    </row>
    <row r="279">
      <c r="B279" s="20"/>
    </row>
    <row r="280">
      <c r="B280" s="20"/>
    </row>
    <row r="281">
      <c r="B281" s="20"/>
    </row>
    <row r="282">
      <c r="B282" s="20"/>
    </row>
    <row r="283">
      <c r="B283" s="20"/>
    </row>
    <row r="284">
      <c r="B284" s="20"/>
    </row>
    <row r="285">
      <c r="B285" s="20"/>
    </row>
    <row r="286">
      <c r="B286" s="20"/>
    </row>
    <row r="287">
      <c r="B287" s="20"/>
    </row>
    <row r="288">
      <c r="B288" s="20"/>
    </row>
    <row r="289">
      <c r="B289" s="20"/>
    </row>
    <row r="290">
      <c r="B290" s="20"/>
    </row>
    <row r="291">
      <c r="B291" s="20"/>
    </row>
    <row r="292">
      <c r="B292" s="20"/>
    </row>
    <row r="293">
      <c r="B293" s="20"/>
    </row>
    <row r="294">
      <c r="B294" s="20"/>
    </row>
    <row r="295">
      <c r="B295" s="20"/>
    </row>
    <row r="296">
      <c r="B296" s="20"/>
    </row>
    <row r="297">
      <c r="B297" s="20"/>
    </row>
    <row r="298">
      <c r="B298" s="20"/>
    </row>
    <row r="299">
      <c r="B299" s="20"/>
    </row>
    <row r="300">
      <c r="B300" s="20"/>
    </row>
    <row r="301">
      <c r="B301" s="20"/>
    </row>
    <row r="302">
      <c r="B302" s="20"/>
    </row>
    <row r="303">
      <c r="B303" s="20"/>
    </row>
    <row r="304">
      <c r="B304" s="20"/>
    </row>
    <row r="305">
      <c r="B305" s="20"/>
    </row>
    <row r="306">
      <c r="B306" s="20"/>
    </row>
    <row r="307">
      <c r="B307" s="20"/>
    </row>
    <row r="308">
      <c r="B308" s="20"/>
    </row>
    <row r="309">
      <c r="B309" s="20"/>
    </row>
    <row r="310">
      <c r="B310" s="20"/>
    </row>
    <row r="311">
      <c r="B311" s="20"/>
    </row>
    <row r="312">
      <c r="B312" s="20"/>
    </row>
    <row r="313">
      <c r="B313" s="20"/>
    </row>
    <row r="314">
      <c r="B314" s="20"/>
    </row>
    <row r="315">
      <c r="B315" s="20"/>
    </row>
    <row r="316">
      <c r="B316" s="20"/>
    </row>
    <row r="317">
      <c r="B317" s="20"/>
    </row>
    <row r="318">
      <c r="B318" s="20"/>
    </row>
    <row r="319">
      <c r="B319" s="20"/>
    </row>
    <row r="320">
      <c r="B320" s="20"/>
    </row>
    <row r="321">
      <c r="B321" s="20"/>
    </row>
    <row r="322">
      <c r="B322" s="20"/>
    </row>
    <row r="323">
      <c r="B323" s="20"/>
    </row>
    <row r="324">
      <c r="B324" s="20"/>
    </row>
    <row r="325">
      <c r="B325" s="20"/>
    </row>
    <row r="326">
      <c r="B326" s="20"/>
    </row>
    <row r="327">
      <c r="B327" s="20"/>
    </row>
    <row r="328">
      <c r="B328" s="20"/>
    </row>
    <row r="329">
      <c r="B329" s="20"/>
    </row>
    <row r="330">
      <c r="B330" s="20"/>
    </row>
    <row r="331">
      <c r="B331" s="20"/>
    </row>
    <row r="332">
      <c r="B332" s="20"/>
    </row>
    <row r="333">
      <c r="B333" s="20"/>
    </row>
    <row r="334">
      <c r="B334" s="20"/>
    </row>
    <row r="335">
      <c r="B335" s="20"/>
    </row>
    <row r="336">
      <c r="B336" s="20"/>
    </row>
    <row r="337">
      <c r="B337" s="20"/>
    </row>
    <row r="338">
      <c r="B338" s="20"/>
    </row>
    <row r="339">
      <c r="B339" s="20"/>
    </row>
    <row r="340">
      <c r="B340" s="20"/>
    </row>
    <row r="341">
      <c r="B341" s="20"/>
    </row>
    <row r="342">
      <c r="B342" s="20"/>
    </row>
    <row r="343">
      <c r="B343" s="20"/>
    </row>
    <row r="344">
      <c r="B344" s="20"/>
    </row>
    <row r="345">
      <c r="B345" s="20"/>
    </row>
    <row r="346">
      <c r="B346" s="20"/>
    </row>
    <row r="347">
      <c r="B347" s="20"/>
    </row>
    <row r="348">
      <c r="B348" s="20"/>
    </row>
    <row r="349">
      <c r="B349" s="20"/>
    </row>
    <row r="350">
      <c r="B350" s="20"/>
    </row>
    <row r="351">
      <c r="B351" s="20"/>
    </row>
    <row r="352">
      <c r="B352" s="20"/>
    </row>
    <row r="353">
      <c r="B353" s="20"/>
    </row>
    <row r="354">
      <c r="B354" s="20"/>
    </row>
    <row r="355">
      <c r="B355" s="20"/>
    </row>
    <row r="356">
      <c r="B356" s="20"/>
    </row>
    <row r="357">
      <c r="B357" s="20"/>
    </row>
    <row r="358">
      <c r="B358" s="20"/>
    </row>
    <row r="359">
      <c r="B359" s="20"/>
    </row>
    <row r="360">
      <c r="B360" s="20"/>
    </row>
    <row r="361">
      <c r="B361" s="20"/>
    </row>
    <row r="362">
      <c r="B362" s="20"/>
    </row>
    <row r="363">
      <c r="B363" s="20"/>
    </row>
    <row r="364">
      <c r="B364" s="20"/>
    </row>
    <row r="365">
      <c r="B365" s="20"/>
    </row>
    <row r="366">
      <c r="B366" s="20"/>
    </row>
    <row r="367">
      <c r="B367" s="20"/>
    </row>
    <row r="368">
      <c r="B368" s="20"/>
    </row>
    <row r="369">
      <c r="B369" s="20"/>
    </row>
    <row r="370">
      <c r="B370" s="20"/>
    </row>
    <row r="371">
      <c r="B371" s="20"/>
    </row>
    <row r="372">
      <c r="B372" s="20"/>
    </row>
    <row r="373">
      <c r="B373" s="20"/>
    </row>
    <row r="374">
      <c r="B374" s="20"/>
    </row>
    <row r="375">
      <c r="B375" s="20"/>
    </row>
    <row r="376">
      <c r="B376" s="20"/>
    </row>
    <row r="377">
      <c r="B377" s="20"/>
    </row>
    <row r="378">
      <c r="B378" s="20"/>
    </row>
    <row r="379">
      <c r="B379" s="20"/>
    </row>
    <row r="380">
      <c r="B380" s="20"/>
    </row>
    <row r="381">
      <c r="B381" s="20"/>
    </row>
    <row r="382">
      <c r="B382" s="20"/>
    </row>
    <row r="383">
      <c r="B383" s="20"/>
    </row>
    <row r="384">
      <c r="B384" s="20"/>
    </row>
    <row r="385">
      <c r="B385" s="20"/>
    </row>
    <row r="386">
      <c r="B386" s="20"/>
    </row>
    <row r="387">
      <c r="B387" s="20"/>
    </row>
    <row r="388">
      <c r="B388" s="20"/>
    </row>
    <row r="389">
      <c r="B389" s="20"/>
    </row>
    <row r="390">
      <c r="B390" s="20"/>
    </row>
    <row r="391">
      <c r="B391" s="20"/>
    </row>
    <row r="392">
      <c r="B392" s="20"/>
    </row>
    <row r="393">
      <c r="B393" s="20"/>
    </row>
    <row r="394">
      <c r="B394" s="20"/>
    </row>
    <row r="395">
      <c r="B395" s="20"/>
    </row>
    <row r="396">
      <c r="B396" s="20"/>
    </row>
    <row r="397">
      <c r="B397" s="20"/>
    </row>
    <row r="398">
      <c r="B398" s="20"/>
    </row>
    <row r="399">
      <c r="B399" s="20"/>
    </row>
    <row r="400">
      <c r="B400" s="20"/>
    </row>
    <row r="401">
      <c r="B401" s="20"/>
    </row>
    <row r="402">
      <c r="B402" s="20"/>
    </row>
    <row r="403">
      <c r="B403" s="20"/>
    </row>
    <row r="404">
      <c r="B404" s="20"/>
    </row>
    <row r="405">
      <c r="B405" s="20"/>
    </row>
    <row r="406">
      <c r="B406" s="20"/>
    </row>
    <row r="407">
      <c r="B407" s="20"/>
    </row>
    <row r="408">
      <c r="B408" s="20"/>
    </row>
    <row r="409">
      <c r="B409" s="20"/>
    </row>
    <row r="410">
      <c r="B410" s="20"/>
    </row>
    <row r="411">
      <c r="B411" s="20"/>
    </row>
    <row r="412">
      <c r="B412" s="20"/>
    </row>
    <row r="413">
      <c r="B413" s="20"/>
    </row>
    <row r="414">
      <c r="B414" s="20"/>
    </row>
    <row r="415">
      <c r="B415" s="20"/>
    </row>
    <row r="416">
      <c r="B416" s="20"/>
    </row>
    <row r="417">
      <c r="B417" s="20"/>
    </row>
    <row r="418">
      <c r="B418" s="20"/>
    </row>
    <row r="419">
      <c r="B419" s="20"/>
    </row>
    <row r="420">
      <c r="B420" s="20"/>
    </row>
    <row r="421">
      <c r="B421" s="20"/>
    </row>
    <row r="422">
      <c r="B422" s="20"/>
    </row>
    <row r="423">
      <c r="B423" s="20"/>
    </row>
    <row r="424">
      <c r="B424" s="20"/>
    </row>
    <row r="425">
      <c r="B425" s="20"/>
    </row>
    <row r="426">
      <c r="B426" s="20"/>
    </row>
    <row r="427">
      <c r="B427" s="20"/>
    </row>
    <row r="428">
      <c r="B428" s="20"/>
    </row>
    <row r="429">
      <c r="B429" s="20"/>
    </row>
    <row r="430">
      <c r="B430" s="20"/>
    </row>
    <row r="431">
      <c r="B431" s="20"/>
    </row>
    <row r="432">
      <c r="B432" s="20"/>
    </row>
    <row r="433">
      <c r="B433" s="20"/>
    </row>
    <row r="434">
      <c r="B434" s="20"/>
    </row>
    <row r="435">
      <c r="B435" s="20"/>
    </row>
    <row r="436">
      <c r="B436" s="20"/>
    </row>
    <row r="437">
      <c r="B437" s="20"/>
    </row>
    <row r="438">
      <c r="B438" s="20"/>
    </row>
    <row r="439">
      <c r="B439" s="20"/>
    </row>
    <row r="440">
      <c r="B440" s="20"/>
    </row>
    <row r="441">
      <c r="B441" s="20"/>
    </row>
    <row r="442">
      <c r="B442" s="20"/>
    </row>
    <row r="443">
      <c r="B443" s="20"/>
    </row>
    <row r="444">
      <c r="B444" s="20"/>
    </row>
    <row r="445">
      <c r="B445" s="20"/>
    </row>
    <row r="446">
      <c r="B446" s="20"/>
    </row>
    <row r="447">
      <c r="B447" s="20"/>
    </row>
    <row r="448">
      <c r="B448" s="20"/>
    </row>
    <row r="449">
      <c r="B449" s="20"/>
    </row>
    <row r="450">
      <c r="B450" s="20"/>
    </row>
    <row r="451">
      <c r="B451" s="20"/>
    </row>
    <row r="452">
      <c r="B452" s="20"/>
    </row>
    <row r="453">
      <c r="B453" s="20"/>
    </row>
    <row r="454">
      <c r="B454" s="20"/>
    </row>
    <row r="455">
      <c r="B455" s="20"/>
    </row>
    <row r="456">
      <c r="B456" s="20"/>
    </row>
    <row r="457">
      <c r="B457" s="20"/>
    </row>
    <row r="458">
      <c r="B458" s="20"/>
    </row>
    <row r="459">
      <c r="B459" s="20"/>
    </row>
    <row r="460">
      <c r="B460" s="20"/>
    </row>
    <row r="461">
      <c r="B461" s="20"/>
    </row>
    <row r="462">
      <c r="B462" s="20"/>
    </row>
    <row r="463">
      <c r="B463" s="20"/>
    </row>
    <row r="464">
      <c r="B464" s="20"/>
    </row>
    <row r="465">
      <c r="B465" s="20"/>
    </row>
    <row r="466">
      <c r="B466" s="20"/>
    </row>
    <row r="467">
      <c r="B467" s="20"/>
    </row>
    <row r="468">
      <c r="B468" s="20"/>
    </row>
    <row r="469">
      <c r="B469" s="20"/>
    </row>
    <row r="470">
      <c r="B470" s="20"/>
    </row>
    <row r="471">
      <c r="B471" s="20"/>
    </row>
    <row r="472">
      <c r="B472" s="20"/>
    </row>
    <row r="473">
      <c r="B473" s="20"/>
    </row>
    <row r="474">
      <c r="B474" s="20"/>
    </row>
    <row r="475">
      <c r="B475" s="20"/>
    </row>
    <row r="476">
      <c r="B476" s="20"/>
    </row>
    <row r="477">
      <c r="B477" s="20"/>
    </row>
    <row r="478">
      <c r="B478" s="20"/>
    </row>
    <row r="479">
      <c r="B479" s="20"/>
    </row>
    <row r="480">
      <c r="B480" s="20"/>
    </row>
    <row r="481">
      <c r="B481" s="20"/>
    </row>
    <row r="482">
      <c r="B482" s="20"/>
    </row>
    <row r="483">
      <c r="B483" s="20"/>
    </row>
    <row r="484">
      <c r="B484" s="20"/>
    </row>
    <row r="485">
      <c r="B485" s="20"/>
    </row>
    <row r="486">
      <c r="B486" s="20"/>
    </row>
    <row r="487">
      <c r="B487" s="20"/>
    </row>
    <row r="488">
      <c r="B488" s="20"/>
    </row>
    <row r="489">
      <c r="B489" s="20"/>
    </row>
    <row r="490">
      <c r="B490" s="20"/>
    </row>
    <row r="491">
      <c r="B491" s="20"/>
    </row>
    <row r="492">
      <c r="B492" s="20"/>
    </row>
    <row r="493">
      <c r="B493" s="20"/>
    </row>
    <row r="494">
      <c r="B494" s="20"/>
    </row>
    <row r="495">
      <c r="B495" s="20"/>
    </row>
    <row r="496">
      <c r="B496" s="20"/>
    </row>
    <row r="497">
      <c r="B497" s="20"/>
    </row>
    <row r="498">
      <c r="B498" s="20"/>
    </row>
    <row r="499">
      <c r="B499" s="20"/>
    </row>
    <row r="500">
      <c r="B500" s="20"/>
    </row>
    <row r="501">
      <c r="B501" s="20"/>
    </row>
    <row r="502">
      <c r="B502" s="20"/>
    </row>
    <row r="503">
      <c r="B503" s="20"/>
    </row>
    <row r="504">
      <c r="B504" s="20"/>
    </row>
    <row r="505">
      <c r="B505" s="20"/>
    </row>
    <row r="506">
      <c r="B506" s="20"/>
    </row>
    <row r="507">
      <c r="B507" s="20"/>
    </row>
    <row r="508">
      <c r="B508" s="20"/>
    </row>
    <row r="509">
      <c r="B509" s="20"/>
    </row>
    <row r="510">
      <c r="B510" s="20"/>
    </row>
    <row r="511">
      <c r="B511" s="20"/>
    </row>
    <row r="512">
      <c r="B512" s="20"/>
    </row>
    <row r="513">
      <c r="B513" s="20"/>
    </row>
    <row r="514">
      <c r="B514" s="20"/>
    </row>
    <row r="515">
      <c r="B515" s="20"/>
    </row>
    <row r="516">
      <c r="B516" s="20"/>
    </row>
    <row r="517">
      <c r="B517" s="20"/>
    </row>
    <row r="518">
      <c r="B518" s="20"/>
    </row>
    <row r="519">
      <c r="B519" s="20"/>
    </row>
    <row r="520">
      <c r="B520" s="20"/>
    </row>
    <row r="521">
      <c r="B521" s="20"/>
    </row>
    <row r="522">
      <c r="B522" s="20"/>
    </row>
    <row r="523">
      <c r="B523" s="20"/>
    </row>
    <row r="524">
      <c r="B524" s="20"/>
    </row>
    <row r="525">
      <c r="B525" s="20"/>
    </row>
    <row r="526">
      <c r="B526" s="20"/>
    </row>
    <row r="527">
      <c r="B527" s="20"/>
    </row>
    <row r="528">
      <c r="B528" s="20"/>
    </row>
    <row r="529">
      <c r="B529" s="20"/>
    </row>
    <row r="530">
      <c r="B530" s="20"/>
    </row>
    <row r="531">
      <c r="B531" s="20"/>
    </row>
    <row r="532">
      <c r="B532" s="20"/>
    </row>
    <row r="533">
      <c r="B533" s="20"/>
    </row>
    <row r="534">
      <c r="B534" s="20"/>
    </row>
    <row r="535">
      <c r="B535" s="20"/>
    </row>
    <row r="536">
      <c r="B536" s="20"/>
    </row>
    <row r="537">
      <c r="B537" s="20"/>
    </row>
    <row r="538">
      <c r="B538" s="20"/>
    </row>
    <row r="539">
      <c r="B539" s="20"/>
    </row>
    <row r="540">
      <c r="B540" s="20"/>
    </row>
    <row r="541">
      <c r="B541" s="20"/>
    </row>
    <row r="542">
      <c r="B542" s="20"/>
    </row>
    <row r="543">
      <c r="B543" s="20"/>
    </row>
    <row r="544">
      <c r="B544" s="20"/>
    </row>
    <row r="545">
      <c r="B545" s="20"/>
    </row>
    <row r="546">
      <c r="B546" s="20"/>
    </row>
    <row r="547">
      <c r="B547" s="20"/>
    </row>
    <row r="548">
      <c r="B548" s="20"/>
    </row>
    <row r="549">
      <c r="B549" s="20"/>
    </row>
    <row r="550">
      <c r="B550" s="20"/>
    </row>
    <row r="551">
      <c r="B551" s="20"/>
    </row>
    <row r="552">
      <c r="B552" s="20"/>
    </row>
    <row r="553">
      <c r="B553" s="20"/>
    </row>
    <row r="554">
      <c r="B554" s="20"/>
    </row>
    <row r="555">
      <c r="B555" s="20"/>
    </row>
    <row r="556">
      <c r="B556" s="20"/>
    </row>
    <row r="557">
      <c r="B557" s="20"/>
    </row>
    <row r="558">
      <c r="B558" s="20"/>
    </row>
    <row r="559">
      <c r="B559" s="20"/>
    </row>
    <row r="560">
      <c r="B560" s="20"/>
    </row>
    <row r="561">
      <c r="B561" s="20"/>
    </row>
    <row r="562">
      <c r="B562" s="20"/>
    </row>
    <row r="563">
      <c r="B563" s="20"/>
    </row>
    <row r="564">
      <c r="B564" s="20"/>
    </row>
    <row r="565">
      <c r="B565" s="20"/>
    </row>
    <row r="566">
      <c r="B566" s="20"/>
    </row>
    <row r="567">
      <c r="B567" s="20"/>
    </row>
    <row r="568">
      <c r="B568" s="20"/>
    </row>
    <row r="569">
      <c r="B569" s="20"/>
    </row>
    <row r="570">
      <c r="B570" s="20"/>
    </row>
    <row r="571">
      <c r="B571" s="20"/>
    </row>
    <row r="572">
      <c r="B572" s="20"/>
    </row>
    <row r="573">
      <c r="B573" s="20"/>
    </row>
    <row r="574">
      <c r="B574" s="20"/>
    </row>
    <row r="575">
      <c r="B575" s="20"/>
    </row>
    <row r="576">
      <c r="B576" s="20"/>
    </row>
    <row r="577">
      <c r="B577" s="20"/>
    </row>
    <row r="578">
      <c r="B578" s="20"/>
    </row>
    <row r="579">
      <c r="B579" s="20"/>
    </row>
    <row r="580">
      <c r="B580" s="20"/>
    </row>
    <row r="581">
      <c r="B581" s="20"/>
    </row>
    <row r="582">
      <c r="B582" s="20"/>
    </row>
    <row r="583">
      <c r="B583" s="20"/>
    </row>
    <row r="584">
      <c r="B584" s="20"/>
    </row>
    <row r="585">
      <c r="B585" s="20"/>
    </row>
    <row r="586">
      <c r="B586" s="20"/>
    </row>
    <row r="587">
      <c r="B587" s="20"/>
    </row>
    <row r="588">
      <c r="B588" s="20"/>
    </row>
    <row r="589">
      <c r="B589" s="20"/>
    </row>
    <row r="590">
      <c r="B590" s="20"/>
    </row>
    <row r="591">
      <c r="B591" s="20"/>
    </row>
    <row r="592">
      <c r="B592" s="20"/>
    </row>
    <row r="593">
      <c r="B593" s="20"/>
    </row>
    <row r="594">
      <c r="B594" s="20"/>
    </row>
    <row r="595">
      <c r="B595" s="20"/>
    </row>
    <row r="596">
      <c r="B596" s="20"/>
    </row>
    <row r="597">
      <c r="B597" s="20"/>
    </row>
    <row r="598">
      <c r="B598" s="20"/>
    </row>
    <row r="599">
      <c r="B599" s="20"/>
    </row>
    <row r="600">
      <c r="B600" s="20"/>
    </row>
    <row r="601">
      <c r="B601" s="20"/>
    </row>
    <row r="602">
      <c r="B602" s="20"/>
    </row>
    <row r="603">
      <c r="B603" s="20"/>
    </row>
    <row r="604">
      <c r="B604" s="20"/>
    </row>
    <row r="605">
      <c r="B605" s="20"/>
    </row>
    <row r="606">
      <c r="B606" s="20"/>
    </row>
    <row r="607">
      <c r="B607" s="20"/>
    </row>
    <row r="608">
      <c r="B608" s="20"/>
    </row>
    <row r="609">
      <c r="B609" s="20"/>
    </row>
    <row r="610">
      <c r="B610" s="20"/>
    </row>
    <row r="611">
      <c r="B611" s="20"/>
    </row>
    <row r="612">
      <c r="B612" s="20"/>
    </row>
    <row r="613">
      <c r="B613" s="20"/>
    </row>
    <row r="614">
      <c r="B614" s="20"/>
    </row>
    <row r="615">
      <c r="B615" s="20"/>
    </row>
    <row r="616">
      <c r="B616" s="20"/>
    </row>
    <row r="617">
      <c r="B617" s="20"/>
    </row>
    <row r="618">
      <c r="B618" s="20"/>
    </row>
    <row r="619">
      <c r="B619" s="20"/>
    </row>
    <row r="620">
      <c r="B620" s="20"/>
    </row>
    <row r="621">
      <c r="B621" s="20"/>
    </row>
    <row r="622">
      <c r="B622" s="20"/>
    </row>
    <row r="623">
      <c r="B623" s="20"/>
    </row>
    <row r="624">
      <c r="B624" s="20"/>
    </row>
    <row r="625">
      <c r="B625" s="20"/>
    </row>
    <row r="626">
      <c r="B626" s="20"/>
    </row>
    <row r="627">
      <c r="B627" s="20"/>
    </row>
    <row r="628">
      <c r="B628" s="20"/>
    </row>
    <row r="629">
      <c r="B629" s="20"/>
    </row>
    <row r="630">
      <c r="B630" s="20"/>
    </row>
    <row r="631">
      <c r="B631" s="20"/>
    </row>
    <row r="632">
      <c r="B632" s="20"/>
    </row>
    <row r="633">
      <c r="B633" s="20"/>
    </row>
    <row r="634">
      <c r="B634" s="20"/>
    </row>
    <row r="635">
      <c r="B635" s="20"/>
    </row>
    <row r="636">
      <c r="B636" s="20"/>
    </row>
    <row r="637">
      <c r="B637" s="20"/>
    </row>
    <row r="638">
      <c r="B638" s="20"/>
    </row>
    <row r="639">
      <c r="B639" s="20"/>
    </row>
    <row r="640">
      <c r="B640" s="20"/>
    </row>
    <row r="641">
      <c r="B641" s="20"/>
    </row>
    <row r="642">
      <c r="B642" s="20"/>
    </row>
    <row r="643">
      <c r="B643" s="20"/>
    </row>
    <row r="644">
      <c r="B644" s="20"/>
    </row>
    <row r="645">
      <c r="B645" s="20"/>
    </row>
    <row r="646">
      <c r="B646" s="20"/>
    </row>
    <row r="647">
      <c r="B647" s="20"/>
    </row>
    <row r="648">
      <c r="B648" s="20"/>
    </row>
    <row r="649">
      <c r="B649" s="20"/>
    </row>
    <row r="650">
      <c r="B650" s="20"/>
    </row>
    <row r="651">
      <c r="B651" s="20"/>
    </row>
    <row r="652">
      <c r="B652" s="20"/>
    </row>
    <row r="653">
      <c r="B653" s="20"/>
    </row>
    <row r="654">
      <c r="B654" s="20"/>
    </row>
    <row r="655">
      <c r="B655" s="20"/>
    </row>
    <row r="656">
      <c r="B656" s="20"/>
    </row>
    <row r="657">
      <c r="B657" s="20"/>
    </row>
    <row r="658">
      <c r="B658" s="20"/>
    </row>
    <row r="659">
      <c r="B659" s="20"/>
    </row>
    <row r="660">
      <c r="B660" s="20"/>
    </row>
    <row r="661">
      <c r="B661" s="20"/>
    </row>
    <row r="662">
      <c r="B662" s="20"/>
    </row>
    <row r="663">
      <c r="B663" s="20"/>
    </row>
    <row r="664">
      <c r="B664" s="20"/>
    </row>
    <row r="665">
      <c r="B665" s="20"/>
    </row>
    <row r="666">
      <c r="B666" s="20"/>
    </row>
    <row r="667">
      <c r="B667" s="20"/>
    </row>
    <row r="668">
      <c r="B668" s="20"/>
    </row>
    <row r="669">
      <c r="B669" s="20"/>
    </row>
    <row r="670">
      <c r="B670" s="20"/>
    </row>
    <row r="671">
      <c r="B671" s="20"/>
    </row>
    <row r="672">
      <c r="B672" s="20"/>
    </row>
    <row r="673">
      <c r="B673" s="20"/>
    </row>
    <row r="674">
      <c r="B674" s="20"/>
    </row>
    <row r="675">
      <c r="B675" s="20"/>
    </row>
    <row r="676">
      <c r="B676" s="20"/>
    </row>
    <row r="677">
      <c r="B677" s="20"/>
    </row>
    <row r="678">
      <c r="B678" s="20"/>
    </row>
    <row r="679">
      <c r="B679" s="20"/>
    </row>
    <row r="680">
      <c r="B680" s="20"/>
    </row>
    <row r="681">
      <c r="B681" s="20"/>
    </row>
    <row r="682">
      <c r="B682" s="20"/>
    </row>
    <row r="683">
      <c r="B683" s="20"/>
    </row>
    <row r="684">
      <c r="B684" s="20"/>
    </row>
    <row r="685">
      <c r="B685" s="20"/>
    </row>
    <row r="686">
      <c r="B686" s="20"/>
    </row>
    <row r="687">
      <c r="B687" s="20"/>
    </row>
    <row r="688">
      <c r="B688" s="20"/>
    </row>
    <row r="689">
      <c r="B689" s="20"/>
    </row>
    <row r="690">
      <c r="B690" s="20"/>
    </row>
    <row r="691">
      <c r="B691" s="20"/>
    </row>
    <row r="692">
      <c r="B692" s="20"/>
    </row>
    <row r="693">
      <c r="B693" s="20"/>
    </row>
    <row r="694">
      <c r="B694" s="20"/>
    </row>
    <row r="695">
      <c r="B695" s="20"/>
    </row>
    <row r="696">
      <c r="B696" s="20"/>
    </row>
    <row r="697">
      <c r="B697" s="20"/>
    </row>
    <row r="698">
      <c r="B698" s="20"/>
    </row>
    <row r="699">
      <c r="B699" s="20"/>
    </row>
    <row r="700">
      <c r="B700" s="20"/>
    </row>
    <row r="701">
      <c r="B701" s="20"/>
    </row>
    <row r="702">
      <c r="B702" s="20"/>
    </row>
    <row r="703">
      <c r="B703" s="20"/>
    </row>
    <row r="704">
      <c r="B704" s="20"/>
    </row>
    <row r="705">
      <c r="B705" s="20"/>
    </row>
    <row r="706">
      <c r="B706" s="20"/>
    </row>
    <row r="707">
      <c r="B707" s="20"/>
    </row>
    <row r="708">
      <c r="B708" s="20"/>
    </row>
    <row r="709">
      <c r="B709" s="20"/>
    </row>
    <row r="710">
      <c r="B710" s="20"/>
    </row>
    <row r="711">
      <c r="B711" s="20"/>
    </row>
    <row r="712">
      <c r="B712" s="20"/>
    </row>
    <row r="713">
      <c r="B713" s="20"/>
    </row>
    <row r="714">
      <c r="B714" s="20"/>
    </row>
    <row r="715">
      <c r="B715" s="20"/>
    </row>
    <row r="716">
      <c r="B716" s="20"/>
    </row>
    <row r="717">
      <c r="B717" s="20"/>
    </row>
    <row r="718">
      <c r="B718" s="20"/>
    </row>
    <row r="719">
      <c r="B719" s="20"/>
    </row>
    <row r="720">
      <c r="B720" s="20"/>
    </row>
    <row r="721">
      <c r="B721" s="20"/>
    </row>
    <row r="722">
      <c r="B722" s="20"/>
    </row>
    <row r="723">
      <c r="B723" s="20"/>
    </row>
    <row r="724">
      <c r="B724" s="20"/>
    </row>
    <row r="725">
      <c r="B725" s="20"/>
    </row>
    <row r="726">
      <c r="B726" s="20"/>
    </row>
    <row r="727">
      <c r="B727" s="20"/>
    </row>
    <row r="728">
      <c r="B728" s="20"/>
    </row>
    <row r="729">
      <c r="B729" s="20"/>
    </row>
    <row r="730">
      <c r="B730" s="20"/>
    </row>
    <row r="731">
      <c r="B731" s="20"/>
    </row>
    <row r="732">
      <c r="B732" s="20"/>
    </row>
    <row r="733">
      <c r="B733" s="20"/>
    </row>
    <row r="734">
      <c r="B734" s="20"/>
    </row>
    <row r="735">
      <c r="B735" s="20"/>
    </row>
    <row r="736">
      <c r="B736" s="20"/>
    </row>
    <row r="737">
      <c r="B737" s="20"/>
    </row>
    <row r="738">
      <c r="B738" s="20"/>
    </row>
    <row r="739">
      <c r="B739" s="20"/>
    </row>
    <row r="740">
      <c r="B740" s="20"/>
    </row>
    <row r="741">
      <c r="B741" s="20"/>
    </row>
    <row r="742">
      <c r="B742" s="20"/>
    </row>
    <row r="743">
      <c r="B743" s="20"/>
    </row>
    <row r="744">
      <c r="B744" s="20"/>
    </row>
    <row r="745">
      <c r="B745" s="20"/>
    </row>
    <row r="746">
      <c r="B746" s="20"/>
    </row>
    <row r="747">
      <c r="B747" s="20"/>
    </row>
    <row r="748">
      <c r="B748" s="20"/>
    </row>
    <row r="749">
      <c r="B749" s="20"/>
    </row>
    <row r="750">
      <c r="B750" s="20"/>
    </row>
    <row r="751">
      <c r="B751" s="20"/>
    </row>
    <row r="752">
      <c r="B752" s="20"/>
    </row>
    <row r="753">
      <c r="B753" s="20"/>
    </row>
    <row r="754">
      <c r="B754" s="20"/>
    </row>
    <row r="755">
      <c r="B755" s="20"/>
    </row>
    <row r="756">
      <c r="B756" s="20"/>
    </row>
    <row r="757">
      <c r="B757" s="20"/>
    </row>
    <row r="758">
      <c r="B758" s="20"/>
    </row>
    <row r="759">
      <c r="B759" s="20"/>
    </row>
    <row r="760">
      <c r="B760" s="20"/>
    </row>
    <row r="761">
      <c r="B761" s="20"/>
    </row>
    <row r="762">
      <c r="B762" s="20"/>
    </row>
    <row r="763">
      <c r="B763" s="20"/>
    </row>
    <row r="764">
      <c r="B764" s="20"/>
    </row>
    <row r="765">
      <c r="B765" s="20"/>
    </row>
    <row r="766">
      <c r="B766" s="20"/>
    </row>
    <row r="767">
      <c r="B767" s="20"/>
    </row>
    <row r="768">
      <c r="B768" s="20"/>
    </row>
    <row r="769">
      <c r="B769" s="20"/>
    </row>
    <row r="770">
      <c r="B770" s="20"/>
    </row>
    <row r="771">
      <c r="B771" s="20"/>
    </row>
    <row r="772">
      <c r="B772" s="20"/>
    </row>
    <row r="773">
      <c r="B773" s="20"/>
    </row>
    <row r="774">
      <c r="B774" s="20"/>
    </row>
    <row r="775">
      <c r="B775" s="20"/>
    </row>
    <row r="776">
      <c r="B776" s="20"/>
    </row>
    <row r="777">
      <c r="B777" s="20"/>
    </row>
    <row r="778">
      <c r="B778" s="20"/>
    </row>
    <row r="779">
      <c r="B779" s="20"/>
    </row>
    <row r="780">
      <c r="B780" s="20"/>
    </row>
    <row r="781">
      <c r="B781" s="20"/>
    </row>
    <row r="782">
      <c r="B782" s="20"/>
    </row>
    <row r="783">
      <c r="B783" s="20"/>
    </row>
    <row r="784">
      <c r="B784" s="20"/>
    </row>
    <row r="785">
      <c r="B785" s="20"/>
    </row>
    <row r="786">
      <c r="B786" s="20"/>
    </row>
    <row r="787">
      <c r="B787" s="20"/>
    </row>
    <row r="788">
      <c r="B788" s="20"/>
    </row>
    <row r="789">
      <c r="B789" s="20"/>
    </row>
    <row r="790">
      <c r="B790" s="20"/>
    </row>
    <row r="791">
      <c r="B791" s="20"/>
    </row>
    <row r="792">
      <c r="B792" s="20"/>
    </row>
    <row r="793">
      <c r="B793" s="20"/>
    </row>
    <row r="794">
      <c r="B794" s="20"/>
    </row>
    <row r="795">
      <c r="B795" s="20"/>
    </row>
    <row r="796">
      <c r="B796" s="20"/>
    </row>
    <row r="797">
      <c r="B797" s="20"/>
    </row>
    <row r="798">
      <c r="B798" s="20"/>
    </row>
    <row r="799">
      <c r="B799" s="20"/>
    </row>
    <row r="800">
      <c r="B800" s="20"/>
    </row>
    <row r="801">
      <c r="B801" s="20"/>
    </row>
    <row r="802">
      <c r="B802" s="20"/>
    </row>
    <row r="803">
      <c r="B803" s="20"/>
    </row>
    <row r="804">
      <c r="B804" s="20"/>
    </row>
    <row r="805">
      <c r="B805" s="20"/>
    </row>
    <row r="806">
      <c r="B806" s="20"/>
    </row>
    <row r="807">
      <c r="B807" s="20"/>
    </row>
    <row r="808">
      <c r="B808" s="20"/>
    </row>
    <row r="809">
      <c r="B809" s="20"/>
    </row>
    <row r="810">
      <c r="B810" s="20"/>
    </row>
    <row r="811">
      <c r="B811" s="20"/>
    </row>
    <row r="812">
      <c r="B812" s="20"/>
    </row>
    <row r="813">
      <c r="B813" s="20"/>
    </row>
    <row r="814">
      <c r="B814" s="20"/>
    </row>
    <row r="815">
      <c r="B815" s="20"/>
    </row>
    <row r="816">
      <c r="B816" s="20"/>
    </row>
    <row r="817">
      <c r="B817" s="20"/>
    </row>
    <row r="818">
      <c r="B818" s="20"/>
    </row>
    <row r="819">
      <c r="B819" s="20"/>
    </row>
    <row r="820">
      <c r="B820" s="20"/>
    </row>
    <row r="821">
      <c r="B821" s="20"/>
    </row>
    <row r="822">
      <c r="B822" s="20"/>
    </row>
    <row r="823">
      <c r="B823" s="20"/>
    </row>
    <row r="824">
      <c r="B824" s="20"/>
    </row>
    <row r="825">
      <c r="B825" s="20"/>
    </row>
    <row r="826">
      <c r="B826" s="20"/>
    </row>
    <row r="827">
      <c r="B827" s="20"/>
    </row>
    <row r="828">
      <c r="B828" s="20"/>
    </row>
    <row r="829">
      <c r="B829" s="20"/>
    </row>
    <row r="830">
      <c r="B830" s="20"/>
    </row>
    <row r="831">
      <c r="B831" s="20"/>
    </row>
    <row r="832">
      <c r="B832" s="20"/>
    </row>
    <row r="833">
      <c r="B833" s="20"/>
    </row>
    <row r="834">
      <c r="B834" s="20"/>
    </row>
    <row r="835">
      <c r="B835" s="20"/>
    </row>
    <row r="836">
      <c r="B836" s="20"/>
    </row>
    <row r="837">
      <c r="B837" s="20"/>
    </row>
    <row r="838">
      <c r="B838" s="20"/>
    </row>
    <row r="839">
      <c r="B839" s="20"/>
    </row>
    <row r="840">
      <c r="B840" s="20"/>
    </row>
    <row r="841">
      <c r="B841" s="20"/>
    </row>
    <row r="842">
      <c r="B842" s="20"/>
    </row>
    <row r="843">
      <c r="B843" s="20"/>
    </row>
    <row r="844">
      <c r="B844" s="20"/>
    </row>
    <row r="845">
      <c r="B845" s="20"/>
    </row>
    <row r="846">
      <c r="B846" s="20"/>
    </row>
    <row r="847">
      <c r="B847" s="20"/>
    </row>
    <row r="848">
      <c r="B848" s="20"/>
    </row>
    <row r="849">
      <c r="B849" s="20"/>
    </row>
    <row r="850">
      <c r="B850" s="20"/>
    </row>
    <row r="851">
      <c r="B851" s="20"/>
    </row>
    <row r="852">
      <c r="B852" s="20"/>
    </row>
    <row r="853">
      <c r="B853" s="20"/>
    </row>
    <row r="854">
      <c r="B854" s="20"/>
    </row>
    <row r="855">
      <c r="B855" s="20"/>
    </row>
    <row r="856">
      <c r="B856" s="20"/>
    </row>
    <row r="857">
      <c r="B857" s="20"/>
    </row>
    <row r="858">
      <c r="B858" s="20"/>
    </row>
    <row r="859">
      <c r="B859" s="20"/>
    </row>
    <row r="860">
      <c r="B860" s="20"/>
    </row>
    <row r="861">
      <c r="B861" s="20"/>
    </row>
    <row r="862">
      <c r="B862" s="20"/>
    </row>
    <row r="863">
      <c r="B863" s="20"/>
    </row>
    <row r="864">
      <c r="B864" s="20"/>
    </row>
    <row r="865">
      <c r="B865" s="20"/>
    </row>
    <row r="866">
      <c r="B866" s="20"/>
    </row>
    <row r="867">
      <c r="B867" s="20"/>
    </row>
    <row r="868">
      <c r="B868" s="20"/>
    </row>
    <row r="869">
      <c r="B869" s="20"/>
    </row>
    <row r="870">
      <c r="B870" s="20"/>
    </row>
    <row r="871">
      <c r="B871" s="20"/>
    </row>
    <row r="872">
      <c r="B872" s="20"/>
    </row>
    <row r="873">
      <c r="B873" s="20"/>
    </row>
    <row r="874">
      <c r="B874" s="20"/>
    </row>
    <row r="875">
      <c r="B875" s="20"/>
    </row>
    <row r="876">
      <c r="B876" s="20"/>
    </row>
    <row r="877">
      <c r="B877" s="20"/>
    </row>
    <row r="878">
      <c r="B878" s="20"/>
    </row>
    <row r="879">
      <c r="B879" s="20"/>
    </row>
    <row r="880">
      <c r="B880" s="20"/>
    </row>
    <row r="881">
      <c r="B881" s="20"/>
    </row>
    <row r="882">
      <c r="B882" s="20"/>
    </row>
    <row r="883">
      <c r="B883" s="20"/>
    </row>
    <row r="884">
      <c r="B884" s="20"/>
    </row>
    <row r="885">
      <c r="B885" s="20"/>
    </row>
    <row r="886">
      <c r="B886" s="20"/>
    </row>
    <row r="887">
      <c r="B887" s="20"/>
    </row>
    <row r="888">
      <c r="B888" s="20"/>
    </row>
    <row r="889">
      <c r="B889" s="20"/>
    </row>
    <row r="890">
      <c r="B890" s="20"/>
    </row>
    <row r="891">
      <c r="B891" s="20"/>
    </row>
    <row r="892">
      <c r="B892" s="20"/>
    </row>
    <row r="893">
      <c r="B893" s="20"/>
    </row>
    <row r="894">
      <c r="B894" s="20"/>
    </row>
    <row r="895">
      <c r="B895" s="20"/>
    </row>
    <row r="896">
      <c r="B896" s="20"/>
    </row>
    <row r="897">
      <c r="B897" s="20"/>
    </row>
    <row r="898">
      <c r="B898" s="20"/>
    </row>
    <row r="899">
      <c r="B899" s="20"/>
    </row>
    <row r="900">
      <c r="B900" s="20"/>
    </row>
    <row r="901">
      <c r="B901" s="20"/>
    </row>
    <row r="902">
      <c r="B902" s="20"/>
    </row>
    <row r="903">
      <c r="B903" s="20"/>
    </row>
    <row r="904">
      <c r="B904" s="20"/>
    </row>
    <row r="905">
      <c r="B905" s="20"/>
    </row>
    <row r="906">
      <c r="B906" s="20"/>
    </row>
    <row r="907">
      <c r="B907" s="20"/>
    </row>
    <row r="908">
      <c r="B908" s="20"/>
    </row>
    <row r="909">
      <c r="B909" s="20"/>
    </row>
    <row r="910">
      <c r="B910" s="20"/>
    </row>
    <row r="911">
      <c r="B911" s="20"/>
    </row>
    <row r="912">
      <c r="B912" s="20"/>
    </row>
    <row r="913">
      <c r="B913" s="20"/>
    </row>
    <row r="914">
      <c r="B914" s="20"/>
    </row>
    <row r="915">
      <c r="B915" s="20"/>
    </row>
    <row r="916">
      <c r="B916" s="20"/>
    </row>
    <row r="917">
      <c r="B917" s="20"/>
    </row>
    <row r="918">
      <c r="B918" s="20"/>
    </row>
    <row r="919">
      <c r="B919" s="20"/>
    </row>
    <row r="920">
      <c r="B920" s="20"/>
    </row>
    <row r="921">
      <c r="B921" s="20"/>
    </row>
    <row r="922">
      <c r="B922" s="20"/>
    </row>
    <row r="923">
      <c r="B923" s="20"/>
    </row>
    <row r="924">
      <c r="B924" s="20"/>
    </row>
    <row r="925">
      <c r="B925" s="20"/>
    </row>
    <row r="926">
      <c r="B926" s="20"/>
    </row>
    <row r="927">
      <c r="B927" s="20"/>
    </row>
    <row r="928">
      <c r="B928" s="20"/>
    </row>
    <row r="929">
      <c r="B929" s="20"/>
    </row>
    <row r="930">
      <c r="B930" s="20"/>
    </row>
    <row r="931">
      <c r="B931" s="20"/>
    </row>
    <row r="932">
      <c r="B932" s="20"/>
    </row>
    <row r="933">
      <c r="B933" s="20"/>
    </row>
    <row r="934">
      <c r="B934" s="20"/>
    </row>
    <row r="935">
      <c r="B935" s="20"/>
    </row>
    <row r="936">
      <c r="B936" s="20"/>
    </row>
    <row r="937">
      <c r="B937" s="20"/>
    </row>
    <row r="938">
      <c r="B938" s="20"/>
    </row>
    <row r="939">
      <c r="B939" s="20"/>
    </row>
    <row r="940">
      <c r="B940" s="20"/>
    </row>
    <row r="941">
      <c r="B941" s="20"/>
    </row>
    <row r="942">
      <c r="B942" s="20"/>
    </row>
    <row r="943">
      <c r="B943" s="20"/>
    </row>
    <row r="944">
      <c r="B944" s="20"/>
    </row>
    <row r="945">
      <c r="B945" s="20"/>
    </row>
    <row r="946">
      <c r="B946" s="20"/>
    </row>
    <row r="947">
      <c r="B947" s="20"/>
    </row>
    <row r="948">
      <c r="B948" s="20"/>
    </row>
    <row r="949">
      <c r="B949" s="20"/>
    </row>
    <row r="950">
      <c r="B950" s="20"/>
    </row>
    <row r="951">
      <c r="B951" s="20"/>
    </row>
    <row r="952">
      <c r="B952" s="20"/>
    </row>
    <row r="953">
      <c r="B953" s="20"/>
    </row>
    <row r="954">
      <c r="B954" s="20"/>
    </row>
    <row r="955">
      <c r="B955" s="20"/>
    </row>
    <row r="956">
      <c r="B956" s="20"/>
    </row>
    <row r="957">
      <c r="B957" s="20"/>
    </row>
    <row r="958">
      <c r="B958" s="20"/>
    </row>
    <row r="959">
      <c r="B959" s="20"/>
    </row>
    <row r="960">
      <c r="B960" s="20"/>
    </row>
    <row r="961">
      <c r="B961" s="20"/>
    </row>
    <row r="962">
      <c r="B962" s="20"/>
    </row>
    <row r="963">
      <c r="B963" s="20"/>
    </row>
    <row r="964">
      <c r="B964" s="20"/>
    </row>
    <row r="965">
      <c r="B965" s="20"/>
    </row>
    <row r="966">
      <c r="B966" s="20"/>
    </row>
    <row r="967">
      <c r="B967" s="20"/>
    </row>
    <row r="968">
      <c r="B968" s="20"/>
    </row>
    <row r="969">
      <c r="B969" s="20"/>
    </row>
    <row r="970">
      <c r="B970" s="20"/>
    </row>
    <row r="971">
      <c r="B971" s="20"/>
    </row>
    <row r="972">
      <c r="B972" s="20"/>
    </row>
    <row r="973">
      <c r="B973" s="20"/>
    </row>
    <row r="974">
      <c r="B974" s="20"/>
    </row>
    <row r="975">
      <c r="B975" s="20"/>
    </row>
    <row r="976">
      <c r="B976" s="20"/>
    </row>
    <row r="977">
      <c r="B977" s="20"/>
    </row>
    <row r="978">
      <c r="B978" s="20"/>
    </row>
    <row r="979">
      <c r="B979" s="20"/>
    </row>
    <row r="980">
      <c r="B980" s="20"/>
    </row>
    <row r="981">
      <c r="B981" s="20"/>
    </row>
    <row r="982">
      <c r="B982" s="20"/>
    </row>
    <row r="983">
      <c r="B983" s="20"/>
    </row>
    <row r="984">
      <c r="B984" s="20"/>
    </row>
    <row r="985">
      <c r="B985" s="20"/>
    </row>
    <row r="986">
      <c r="B986" s="20"/>
    </row>
    <row r="987">
      <c r="B987" s="20"/>
    </row>
    <row r="988">
      <c r="B988" s="20"/>
    </row>
    <row r="989">
      <c r="B989" s="20"/>
    </row>
    <row r="990">
      <c r="B990" s="20"/>
    </row>
    <row r="991">
      <c r="B991" s="20"/>
    </row>
    <row r="992">
      <c r="B992" s="20"/>
    </row>
    <row r="993">
      <c r="B993" s="20"/>
    </row>
    <row r="994">
      <c r="B994" s="20"/>
    </row>
    <row r="995">
      <c r="B995" s="20"/>
    </row>
    <row r="996">
      <c r="B996" s="20"/>
    </row>
    <row r="997">
      <c r="B997" s="20"/>
    </row>
    <row r="998">
      <c r="B998" s="20"/>
    </row>
    <row r="999">
      <c r="B999" s="20"/>
    </row>
    <row r="1000">
      <c r="B1000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hidden="1" min="2" max="2" width="38.86"/>
    <col customWidth="1" min="7" max="7" width="12.86"/>
  </cols>
  <sheetData>
    <row r="1" ht="27.0" customHeight="1">
      <c r="A1" s="83" t="s">
        <v>0</v>
      </c>
      <c r="B1" s="83"/>
      <c r="C1" s="83" t="s">
        <v>138</v>
      </c>
      <c r="D1" s="83" t="s">
        <v>139</v>
      </c>
      <c r="E1" s="83" t="s">
        <v>140</v>
      </c>
      <c r="F1" s="83" t="s">
        <v>141</v>
      </c>
      <c r="G1" s="84" t="s">
        <v>142</v>
      </c>
    </row>
    <row r="2">
      <c r="A2" s="77">
        <f>IFERROR(__xludf.DUMMYFUNCTION("IMPORTRANGE(""https://docs.google.com/spreadsheets/d/1tmyDd48UzVWk1pBjmWjdHkBHYbZX9G9Y-Lh0NOCkbc8/edit?resourcekey=&amp;gid=385477979#gid=385477979"", ""Sheet5!A2:F38"")"),2.0301033E7)</f>
        <v>20301033</v>
      </c>
      <c r="B2" s="77" t="str">
        <f>IFERROR(__xludf.DUMMYFUNCTION("""COMPUTED_VALUE"""),"Amlan Dutta")</f>
        <v>Amlan Dutta</v>
      </c>
      <c r="C2" s="77">
        <f>IFERROR(__xludf.DUMMYFUNCTION("""COMPUTED_VALUE"""),5.0)</f>
        <v>5</v>
      </c>
      <c r="D2" s="77">
        <f>IFERROR(__xludf.DUMMYFUNCTION("""COMPUTED_VALUE"""),0.0)</f>
        <v>0</v>
      </c>
      <c r="E2" s="77">
        <f>IFERROR(__xludf.DUMMYFUNCTION("""COMPUTED_VALUE"""),5.0)</f>
        <v>5</v>
      </c>
      <c r="F2" s="77">
        <f>IFERROR(__xludf.DUMMYFUNCTION("""COMPUTED_VALUE"""),5.0)</f>
        <v>5</v>
      </c>
      <c r="G2" s="77">
        <f t="shared" ref="G2:G38" si="1">SUM(C2:F2)/4</f>
        <v>3.75</v>
      </c>
    </row>
    <row r="3">
      <c r="A3" s="77">
        <f>IFERROR(__xludf.DUMMYFUNCTION("""COMPUTED_VALUE"""),2.2101425E7)</f>
        <v>22101425</v>
      </c>
      <c r="B3" s="77" t="str">
        <f>IFERROR(__xludf.DUMMYFUNCTION("""COMPUTED_VALUE"""),"Khandokar Yusuf Khalid")</f>
        <v>Khandokar Yusuf Khalid</v>
      </c>
      <c r="C3" s="77">
        <f>IFERROR(__xludf.DUMMYFUNCTION("""COMPUTED_VALUE"""),5.0)</f>
        <v>5</v>
      </c>
      <c r="D3" s="77">
        <f>IFERROR(__xludf.DUMMYFUNCTION("""COMPUTED_VALUE"""),0.0)</f>
        <v>0</v>
      </c>
      <c r="E3" s="77">
        <f>IFERROR(__xludf.DUMMYFUNCTION("""COMPUTED_VALUE"""),5.0)</f>
        <v>5</v>
      </c>
      <c r="F3" s="77">
        <f>IFERROR(__xludf.DUMMYFUNCTION("""COMPUTED_VALUE"""),5.0)</f>
        <v>5</v>
      </c>
      <c r="G3" s="77">
        <f t="shared" si="1"/>
        <v>3.75</v>
      </c>
    </row>
    <row r="4">
      <c r="A4" s="77">
        <f>IFERROR(__xludf.DUMMYFUNCTION("""COMPUTED_VALUE"""),2.2101748E7)</f>
        <v>22101748</v>
      </c>
      <c r="B4" s="77" t="str">
        <f>IFERROR(__xludf.DUMMYFUNCTION("""COMPUTED_VALUE"""),"Mst. Zubaida Haque Jetu")</f>
        <v>Mst. Zubaida Haque Jetu</v>
      </c>
      <c r="C4" s="77">
        <f>IFERROR(__xludf.DUMMYFUNCTION("""COMPUTED_VALUE"""),5.0)</f>
        <v>5</v>
      </c>
      <c r="D4" s="77">
        <f>IFERROR(__xludf.DUMMYFUNCTION("""COMPUTED_VALUE"""),5.0)</f>
        <v>5</v>
      </c>
      <c r="E4" s="77">
        <f>IFERROR(__xludf.DUMMYFUNCTION("""COMPUTED_VALUE"""),5.0)</f>
        <v>5</v>
      </c>
      <c r="F4" s="77">
        <f>IFERROR(__xludf.DUMMYFUNCTION("""COMPUTED_VALUE"""),5.0)</f>
        <v>5</v>
      </c>
      <c r="G4" s="77">
        <f t="shared" si="1"/>
        <v>5</v>
      </c>
    </row>
    <row r="5">
      <c r="A5" s="77">
        <f>IFERROR(__xludf.DUMMYFUNCTION("""COMPUTED_VALUE"""),2.2299296E7)</f>
        <v>22299296</v>
      </c>
      <c r="B5" s="77" t="str">
        <f>IFERROR(__xludf.DUMMYFUNCTION("""COMPUTED_VALUE"""),"Raihan Karim")</f>
        <v>Raihan Karim</v>
      </c>
      <c r="C5" s="77">
        <f>IFERROR(__xludf.DUMMYFUNCTION("""COMPUTED_VALUE"""),5.0)</f>
        <v>5</v>
      </c>
      <c r="D5" s="77">
        <f>IFERROR(__xludf.DUMMYFUNCTION("""COMPUTED_VALUE"""),5.0)</f>
        <v>5</v>
      </c>
      <c r="E5" s="77">
        <f>IFERROR(__xludf.DUMMYFUNCTION("""COMPUTED_VALUE"""),5.0)</f>
        <v>5</v>
      </c>
      <c r="F5" s="77">
        <f>IFERROR(__xludf.DUMMYFUNCTION("""COMPUTED_VALUE"""),5.0)</f>
        <v>5</v>
      </c>
      <c r="G5" s="77">
        <f t="shared" si="1"/>
        <v>5</v>
      </c>
    </row>
    <row r="6">
      <c r="A6" s="77">
        <f>IFERROR(__xludf.DUMMYFUNCTION("""COMPUTED_VALUE"""),2.3101075E7)</f>
        <v>23101075</v>
      </c>
      <c r="B6" s="77" t="str">
        <f>IFERROR(__xludf.DUMMYFUNCTION("""COMPUTED_VALUE"""),"Abida Nowsheen")</f>
        <v>Abida Nowsheen</v>
      </c>
      <c r="C6" s="77">
        <f>IFERROR(__xludf.DUMMYFUNCTION("""COMPUTED_VALUE"""),0.0)</f>
        <v>0</v>
      </c>
      <c r="D6" s="77">
        <f>IFERROR(__xludf.DUMMYFUNCTION("""COMPUTED_VALUE"""),0.0)</f>
        <v>0</v>
      </c>
      <c r="E6" s="77">
        <f>IFERROR(__xludf.DUMMYFUNCTION("""COMPUTED_VALUE"""),0.0)</f>
        <v>0</v>
      </c>
      <c r="F6" s="77">
        <f>IFERROR(__xludf.DUMMYFUNCTION("""COMPUTED_VALUE"""),0.0)</f>
        <v>0</v>
      </c>
      <c r="G6" s="77">
        <f t="shared" si="1"/>
        <v>0</v>
      </c>
    </row>
    <row r="7">
      <c r="A7" s="77">
        <f>IFERROR(__xludf.DUMMYFUNCTION("""COMPUTED_VALUE"""),2.3101101E7)</f>
        <v>23101101</v>
      </c>
      <c r="B7" s="77" t="str">
        <f>IFERROR(__xludf.DUMMYFUNCTION("""COMPUTED_VALUE"""),"Jubaida Jahan Prapti")</f>
        <v>Jubaida Jahan Prapti</v>
      </c>
      <c r="C7" s="77">
        <f>IFERROR(__xludf.DUMMYFUNCTION("""COMPUTED_VALUE"""),0.0)</f>
        <v>0</v>
      </c>
      <c r="D7" s="77">
        <f>IFERROR(__xludf.DUMMYFUNCTION("""COMPUTED_VALUE"""),5.0)</f>
        <v>5</v>
      </c>
      <c r="E7" s="77">
        <f>IFERROR(__xludf.DUMMYFUNCTION("""COMPUTED_VALUE"""),0.0)</f>
        <v>0</v>
      </c>
      <c r="F7" s="77">
        <f>IFERROR(__xludf.DUMMYFUNCTION("""COMPUTED_VALUE"""),0.0)</f>
        <v>0</v>
      </c>
      <c r="G7" s="77">
        <f t="shared" si="1"/>
        <v>1.25</v>
      </c>
    </row>
    <row r="8">
      <c r="A8" s="77">
        <f>IFERROR(__xludf.DUMMYFUNCTION("""COMPUTED_VALUE"""),2.3101271E7)</f>
        <v>23101271</v>
      </c>
      <c r="B8" s="77" t="str">
        <f>IFERROR(__xludf.DUMMYFUNCTION("""COMPUTED_VALUE"""),"Sazid Chowdhury")</f>
        <v>Sazid Chowdhury</v>
      </c>
      <c r="C8" s="77">
        <f>IFERROR(__xludf.DUMMYFUNCTION("""COMPUTED_VALUE"""),5.0)</f>
        <v>5</v>
      </c>
      <c r="D8" s="77">
        <f>IFERROR(__xludf.DUMMYFUNCTION("""COMPUTED_VALUE"""),5.0)</f>
        <v>5</v>
      </c>
      <c r="E8" s="77">
        <f>IFERROR(__xludf.DUMMYFUNCTION("""COMPUTED_VALUE"""),5.0)</f>
        <v>5</v>
      </c>
      <c r="F8" s="77">
        <f>IFERROR(__xludf.DUMMYFUNCTION("""COMPUTED_VALUE"""),5.0)</f>
        <v>5</v>
      </c>
      <c r="G8" s="77">
        <f t="shared" si="1"/>
        <v>5</v>
      </c>
    </row>
    <row r="9">
      <c r="A9" s="77">
        <f>IFERROR(__xludf.DUMMYFUNCTION("""COMPUTED_VALUE"""),2.3101378E7)</f>
        <v>23101378</v>
      </c>
      <c r="B9" s="77" t="str">
        <f>IFERROR(__xludf.DUMMYFUNCTION("""COMPUTED_VALUE"""),"Sharif Al Rezoan")</f>
        <v>Sharif Al Rezoan</v>
      </c>
      <c r="C9" s="77">
        <f>IFERROR(__xludf.DUMMYFUNCTION("""COMPUTED_VALUE"""),5.0)</f>
        <v>5</v>
      </c>
      <c r="D9" s="77">
        <f>IFERROR(__xludf.DUMMYFUNCTION("""COMPUTED_VALUE"""),5.0)</f>
        <v>5</v>
      </c>
      <c r="E9" s="77">
        <f>IFERROR(__xludf.DUMMYFUNCTION("""COMPUTED_VALUE"""),0.0)</f>
        <v>0</v>
      </c>
      <c r="F9" s="77">
        <f>IFERROR(__xludf.DUMMYFUNCTION("""COMPUTED_VALUE"""),0.0)</f>
        <v>0</v>
      </c>
      <c r="G9" s="77">
        <f t="shared" si="1"/>
        <v>2.5</v>
      </c>
    </row>
    <row r="10">
      <c r="A10" s="77">
        <f>IFERROR(__xludf.DUMMYFUNCTION("""COMPUTED_VALUE"""),2.3141047E7)</f>
        <v>23141047</v>
      </c>
      <c r="B10" s="77" t="str">
        <f>IFERROR(__xludf.DUMMYFUNCTION("""COMPUTED_VALUE"""),"Mohammad Rashik Ruhullah Rafi")</f>
        <v>Mohammad Rashik Ruhullah Rafi</v>
      </c>
      <c r="C10" s="77">
        <f>IFERROR(__xludf.DUMMYFUNCTION("""COMPUTED_VALUE"""),0.0)</f>
        <v>0</v>
      </c>
      <c r="D10" s="77">
        <f>IFERROR(__xludf.DUMMYFUNCTION("""COMPUTED_VALUE"""),0.0)</f>
        <v>0</v>
      </c>
      <c r="E10" s="77">
        <f>IFERROR(__xludf.DUMMYFUNCTION("""COMPUTED_VALUE"""),0.0)</f>
        <v>0</v>
      </c>
      <c r="F10" s="77">
        <f>IFERROR(__xludf.DUMMYFUNCTION("""COMPUTED_VALUE"""),0.0)</f>
        <v>0</v>
      </c>
      <c r="G10" s="77">
        <f t="shared" si="1"/>
        <v>0</v>
      </c>
    </row>
    <row r="11">
      <c r="A11" s="77">
        <f>IFERROR(__xludf.DUMMYFUNCTION("""COMPUTED_VALUE"""),2.3201093E7)</f>
        <v>23201093</v>
      </c>
      <c r="B11" s="77" t="str">
        <f>IFERROR(__xludf.DUMMYFUNCTION("""COMPUTED_VALUE"""),"S.A.Rahman")</f>
        <v>S.A.Rahman</v>
      </c>
      <c r="C11" s="77">
        <f>IFERROR(__xludf.DUMMYFUNCTION("""COMPUTED_VALUE"""),5.0)</f>
        <v>5</v>
      </c>
      <c r="D11" s="77">
        <f>IFERROR(__xludf.DUMMYFUNCTION("""COMPUTED_VALUE"""),5.0)</f>
        <v>5</v>
      </c>
      <c r="E11" s="77">
        <f>IFERROR(__xludf.DUMMYFUNCTION("""COMPUTED_VALUE"""),0.0)</f>
        <v>0</v>
      </c>
      <c r="F11" s="77">
        <f>IFERROR(__xludf.DUMMYFUNCTION("""COMPUTED_VALUE"""),0.0)</f>
        <v>0</v>
      </c>
      <c r="G11" s="77">
        <f t="shared" si="1"/>
        <v>2.5</v>
      </c>
    </row>
    <row r="12">
      <c r="A12" s="77">
        <f>IFERROR(__xludf.DUMMYFUNCTION("""COMPUTED_VALUE"""),2.3201659E7)</f>
        <v>23201659</v>
      </c>
      <c r="B12" s="77" t="str">
        <f>IFERROR(__xludf.DUMMYFUNCTION("""COMPUTED_VALUE"""),"Maisha Sanjida Akhi")</f>
        <v>Maisha Sanjida Akhi</v>
      </c>
      <c r="C12" s="77">
        <f>IFERROR(__xludf.DUMMYFUNCTION("""COMPUTED_VALUE"""),0.0)</f>
        <v>0</v>
      </c>
      <c r="D12" s="77">
        <f>IFERROR(__xludf.DUMMYFUNCTION("""COMPUTED_VALUE"""),0.0)</f>
        <v>0</v>
      </c>
      <c r="E12" s="77">
        <f>IFERROR(__xludf.DUMMYFUNCTION("""COMPUTED_VALUE"""),0.0)</f>
        <v>0</v>
      </c>
      <c r="F12" s="77">
        <f>IFERROR(__xludf.DUMMYFUNCTION("""COMPUTED_VALUE"""),0.0)</f>
        <v>0</v>
      </c>
      <c r="G12" s="77">
        <f t="shared" si="1"/>
        <v>0</v>
      </c>
    </row>
    <row r="13">
      <c r="A13" s="77">
        <f>IFERROR(__xludf.DUMMYFUNCTION("""COMPUTED_VALUE"""),2.330141E7)</f>
        <v>23301410</v>
      </c>
      <c r="B13" s="77" t="str">
        <f>IFERROR(__xludf.DUMMYFUNCTION("""COMPUTED_VALUE"""),"Rafid Shahriar Auvro")</f>
        <v>Rafid Shahriar Auvro</v>
      </c>
      <c r="C13" s="77">
        <f>IFERROR(__xludf.DUMMYFUNCTION("""COMPUTED_VALUE"""),0.0)</f>
        <v>0</v>
      </c>
      <c r="D13" s="77">
        <f>IFERROR(__xludf.DUMMYFUNCTION("""COMPUTED_VALUE"""),0.0)</f>
        <v>0</v>
      </c>
      <c r="E13" s="77">
        <f>IFERROR(__xludf.DUMMYFUNCTION("""COMPUTED_VALUE"""),0.0)</f>
        <v>0</v>
      </c>
      <c r="F13" s="77">
        <f>IFERROR(__xludf.DUMMYFUNCTION("""COMPUTED_VALUE"""),0.0)</f>
        <v>0</v>
      </c>
      <c r="G13" s="77">
        <f t="shared" si="1"/>
        <v>0</v>
      </c>
    </row>
    <row r="14">
      <c r="A14" s="77">
        <f>IFERROR(__xludf.DUMMYFUNCTION("""COMPUTED_VALUE"""),2.3301602E7)</f>
        <v>23301602</v>
      </c>
      <c r="B14" s="77" t="str">
        <f>IFERROR(__xludf.DUMMYFUNCTION("""COMPUTED_VALUE"""),"Farhan Anjum")</f>
        <v>Farhan Anjum</v>
      </c>
      <c r="C14" s="77">
        <f>IFERROR(__xludf.DUMMYFUNCTION("""COMPUTED_VALUE"""),5.0)</f>
        <v>5</v>
      </c>
      <c r="D14" s="77">
        <f>IFERROR(__xludf.DUMMYFUNCTION("""COMPUTED_VALUE"""),0.0)</f>
        <v>0</v>
      </c>
      <c r="E14" s="77">
        <f>IFERROR(__xludf.DUMMYFUNCTION("""COMPUTED_VALUE"""),0.0)</f>
        <v>0</v>
      </c>
      <c r="F14" s="77">
        <f>IFERROR(__xludf.DUMMYFUNCTION("""COMPUTED_VALUE"""),0.0)</f>
        <v>0</v>
      </c>
      <c r="G14" s="77">
        <f t="shared" si="1"/>
        <v>1.25</v>
      </c>
    </row>
    <row r="15">
      <c r="A15" s="77">
        <f>IFERROR(__xludf.DUMMYFUNCTION("""COMPUTED_VALUE"""),2.410139E7)</f>
        <v>24101390</v>
      </c>
      <c r="B15" s="77" t="str">
        <f>IFERROR(__xludf.DUMMYFUNCTION("""COMPUTED_VALUE"""),"P. M. Mushfiqur Shium")</f>
        <v>P. M. Mushfiqur Shium</v>
      </c>
      <c r="C15" s="77">
        <f>IFERROR(__xludf.DUMMYFUNCTION("""COMPUTED_VALUE"""),5.0)</f>
        <v>5</v>
      </c>
      <c r="D15" s="77">
        <f>IFERROR(__xludf.DUMMYFUNCTION("""COMPUTED_VALUE"""),5.0)</f>
        <v>5</v>
      </c>
      <c r="E15" s="77">
        <f>IFERROR(__xludf.DUMMYFUNCTION("""COMPUTED_VALUE"""),5.0)</f>
        <v>5</v>
      </c>
      <c r="F15" s="77">
        <f>IFERROR(__xludf.DUMMYFUNCTION("""COMPUTED_VALUE"""),5.0)</f>
        <v>5</v>
      </c>
      <c r="G15" s="77">
        <f t="shared" si="1"/>
        <v>5</v>
      </c>
    </row>
    <row r="16">
      <c r="A16" s="77">
        <f>IFERROR(__xludf.DUMMYFUNCTION("""COMPUTED_VALUE"""),2.4101392E7)</f>
        <v>24101392</v>
      </c>
      <c r="B16" s="77" t="str">
        <f>IFERROR(__xludf.DUMMYFUNCTION("""COMPUTED_VALUE"""),"Fardin Islam")</f>
        <v>Fardin Islam</v>
      </c>
      <c r="C16" s="77">
        <f>IFERROR(__xludf.DUMMYFUNCTION("""COMPUTED_VALUE"""),5.0)</f>
        <v>5</v>
      </c>
      <c r="D16" s="77">
        <f>IFERROR(__xludf.DUMMYFUNCTION("""COMPUTED_VALUE"""),5.0)</f>
        <v>5</v>
      </c>
      <c r="E16" s="77">
        <f>IFERROR(__xludf.DUMMYFUNCTION("""COMPUTED_VALUE"""),5.0)</f>
        <v>5</v>
      </c>
      <c r="F16" s="77">
        <f>IFERROR(__xludf.DUMMYFUNCTION("""COMPUTED_VALUE"""),5.0)</f>
        <v>5</v>
      </c>
      <c r="G16" s="77">
        <f t="shared" si="1"/>
        <v>5</v>
      </c>
    </row>
    <row r="17">
      <c r="A17" s="77">
        <f>IFERROR(__xludf.DUMMYFUNCTION("""COMPUTED_VALUE"""),2.4101431E7)</f>
        <v>24101431</v>
      </c>
      <c r="B17" s="77" t="str">
        <f>IFERROR(__xludf.DUMMYFUNCTION("""COMPUTED_VALUE"""),"Raheeb Al Zabir")</f>
        <v>Raheeb Al Zabir</v>
      </c>
      <c r="C17" s="77">
        <f>IFERROR(__xludf.DUMMYFUNCTION("""COMPUTED_VALUE"""),5.0)</f>
        <v>5</v>
      </c>
      <c r="D17" s="77">
        <f>IFERROR(__xludf.DUMMYFUNCTION("""COMPUTED_VALUE"""),5.0)</f>
        <v>5</v>
      </c>
      <c r="E17" s="77">
        <f>IFERROR(__xludf.DUMMYFUNCTION("""COMPUTED_VALUE"""),5.0)</f>
        <v>5</v>
      </c>
      <c r="F17" s="77">
        <f>IFERROR(__xludf.DUMMYFUNCTION("""COMPUTED_VALUE"""),5.0)</f>
        <v>5</v>
      </c>
      <c r="G17" s="77">
        <f t="shared" si="1"/>
        <v>5</v>
      </c>
    </row>
    <row r="18">
      <c r="A18" s="77">
        <f>IFERROR(__xludf.DUMMYFUNCTION("""COMPUTED_VALUE"""),2.4101442E7)</f>
        <v>24101442</v>
      </c>
      <c r="B18" s="77" t="str">
        <f>IFERROR(__xludf.DUMMYFUNCTION("""COMPUTED_VALUE"""),"Abdullah Al Noman")</f>
        <v>Abdullah Al Noman</v>
      </c>
      <c r="C18" s="77">
        <f>IFERROR(__xludf.DUMMYFUNCTION("""COMPUTED_VALUE"""),5.0)</f>
        <v>5</v>
      </c>
      <c r="D18" s="77">
        <f>IFERROR(__xludf.DUMMYFUNCTION("""COMPUTED_VALUE"""),5.0)</f>
        <v>5</v>
      </c>
      <c r="E18" s="77">
        <f>IFERROR(__xludf.DUMMYFUNCTION("""COMPUTED_VALUE"""),5.0)</f>
        <v>5</v>
      </c>
      <c r="F18" s="77">
        <f>IFERROR(__xludf.DUMMYFUNCTION("""COMPUTED_VALUE"""),5.0)</f>
        <v>5</v>
      </c>
      <c r="G18" s="77">
        <f t="shared" si="1"/>
        <v>5</v>
      </c>
    </row>
    <row r="19">
      <c r="A19" s="77">
        <f>IFERROR(__xludf.DUMMYFUNCTION("""COMPUTED_VALUE"""),2.4121353E7)</f>
        <v>24121353</v>
      </c>
      <c r="B19" s="77" t="str">
        <f>IFERROR(__xludf.DUMMYFUNCTION("""COMPUTED_VALUE"""),"Ayatullah Osama Khan")</f>
        <v>Ayatullah Osama Khan</v>
      </c>
      <c r="C19" s="77">
        <f>IFERROR(__xludf.DUMMYFUNCTION("""COMPUTED_VALUE"""),5.0)</f>
        <v>5</v>
      </c>
      <c r="D19" s="77">
        <f>IFERROR(__xludf.DUMMYFUNCTION("""COMPUTED_VALUE"""),5.0)</f>
        <v>5</v>
      </c>
      <c r="E19" s="77">
        <f>IFERROR(__xludf.DUMMYFUNCTION("""COMPUTED_VALUE"""),5.0)</f>
        <v>5</v>
      </c>
      <c r="F19" s="77">
        <f>IFERROR(__xludf.DUMMYFUNCTION("""COMPUTED_VALUE"""),5.0)</f>
        <v>5</v>
      </c>
      <c r="G19" s="77">
        <f t="shared" si="1"/>
        <v>5</v>
      </c>
    </row>
    <row r="20">
      <c r="A20" s="77">
        <f>IFERROR(__xludf.DUMMYFUNCTION("""COMPUTED_VALUE"""),2.4141008E7)</f>
        <v>24141008</v>
      </c>
      <c r="B20" s="77" t="str">
        <f>IFERROR(__xludf.DUMMYFUNCTION("""COMPUTED_VALUE"""),"Ashvin Al Afroz")</f>
        <v>Ashvin Al Afroz</v>
      </c>
      <c r="C20" s="77">
        <f>IFERROR(__xludf.DUMMYFUNCTION("""COMPUTED_VALUE"""),5.0)</f>
        <v>5</v>
      </c>
      <c r="D20" s="77">
        <f>IFERROR(__xludf.DUMMYFUNCTION("""COMPUTED_VALUE"""),5.0)</f>
        <v>5</v>
      </c>
      <c r="E20" s="77">
        <f>IFERROR(__xludf.DUMMYFUNCTION("""COMPUTED_VALUE"""),0.0)</f>
        <v>0</v>
      </c>
      <c r="F20" s="77">
        <f>IFERROR(__xludf.DUMMYFUNCTION("""COMPUTED_VALUE"""),0.0)</f>
        <v>0</v>
      </c>
      <c r="G20" s="77">
        <f t="shared" si="1"/>
        <v>2.5</v>
      </c>
    </row>
    <row r="21">
      <c r="A21" s="77">
        <f>IFERROR(__xludf.DUMMYFUNCTION("""COMPUTED_VALUE"""),2.4141155E7)</f>
        <v>24141155</v>
      </c>
      <c r="B21" s="77" t="str">
        <f>IFERROR(__xludf.DUMMYFUNCTION("""COMPUTED_VALUE"""),"Md. Abrar Mahib Pritom")</f>
        <v>Md. Abrar Mahib Pritom</v>
      </c>
      <c r="C21" s="77">
        <f>IFERROR(__xludf.DUMMYFUNCTION("""COMPUTED_VALUE"""),0.0)</f>
        <v>0</v>
      </c>
      <c r="D21" s="77">
        <f>IFERROR(__xludf.DUMMYFUNCTION("""COMPUTED_VALUE"""),0.0)</f>
        <v>0</v>
      </c>
      <c r="E21" s="77">
        <f>IFERROR(__xludf.DUMMYFUNCTION("""COMPUTED_VALUE"""),0.0)</f>
        <v>0</v>
      </c>
      <c r="F21" s="77">
        <f>IFERROR(__xludf.DUMMYFUNCTION("""COMPUTED_VALUE"""),0.0)</f>
        <v>0</v>
      </c>
      <c r="G21" s="77">
        <f t="shared" si="1"/>
        <v>0</v>
      </c>
    </row>
    <row r="22">
      <c r="A22" s="77">
        <f>IFERROR(__xludf.DUMMYFUNCTION("""COMPUTED_VALUE"""),2.420109E7)</f>
        <v>24201090</v>
      </c>
      <c r="B22" s="77" t="str">
        <f>IFERROR(__xludf.DUMMYFUNCTION("""COMPUTED_VALUE"""),"Nafis As - Sami")</f>
        <v>Nafis As - Sami</v>
      </c>
      <c r="C22" s="77">
        <f>IFERROR(__xludf.DUMMYFUNCTION("""COMPUTED_VALUE"""),5.0)</f>
        <v>5</v>
      </c>
      <c r="D22" s="77">
        <f>IFERROR(__xludf.DUMMYFUNCTION("""COMPUTED_VALUE"""),5.0)</f>
        <v>5</v>
      </c>
      <c r="E22" s="77">
        <f>IFERROR(__xludf.DUMMYFUNCTION("""COMPUTED_VALUE"""),5.0)</f>
        <v>5</v>
      </c>
      <c r="F22" s="77">
        <f>IFERROR(__xludf.DUMMYFUNCTION("""COMPUTED_VALUE"""),5.0)</f>
        <v>5</v>
      </c>
      <c r="G22" s="77">
        <f t="shared" si="1"/>
        <v>5</v>
      </c>
    </row>
    <row r="23">
      <c r="A23" s="77">
        <f>IFERROR(__xludf.DUMMYFUNCTION("""COMPUTED_VALUE"""),2.4201165E7)</f>
        <v>24201165</v>
      </c>
      <c r="B23" s="77" t="str">
        <f>IFERROR(__xludf.DUMMYFUNCTION("""COMPUTED_VALUE"""),"Jahareen Tasmeem")</f>
        <v>Jahareen Tasmeem</v>
      </c>
      <c r="C23" s="77">
        <f>IFERROR(__xludf.DUMMYFUNCTION("""COMPUTED_VALUE"""),5.0)</f>
        <v>5</v>
      </c>
      <c r="D23" s="77">
        <f>IFERROR(__xludf.DUMMYFUNCTION("""COMPUTED_VALUE"""),5.0)</f>
        <v>5</v>
      </c>
      <c r="E23" s="77">
        <f>IFERROR(__xludf.DUMMYFUNCTION("""COMPUTED_VALUE"""),5.0)</f>
        <v>5</v>
      </c>
      <c r="F23" s="77">
        <f>IFERROR(__xludf.DUMMYFUNCTION("""COMPUTED_VALUE"""),5.0)</f>
        <v>5</v>
      </c>
      <c r="G23" s="77">
        <f t="shared" si="1"/>
        <v>5</v>
      </c>
    </row>
    <row r="24">
      <c r="A24" s="77">
        <f>IFERROR(__xludf.DUMMYFUNCTION("""COMPUTED_VALUE"""),2.4201176E7)</f>
        <v>24201176</v>
      </c>
      <c r="B24" s="77" t="str">
        <f>IFERROR(__xludf.DUMMYFUNCTION("""COMPUTED_VALUE"""),"Maheer Tajwar")</f>
        <v>Maheer Tajwar</v>
      </c>
      <c r="C24" s="77">
        <f>IFERROR(__xludf.DUMMYFUNCTION("""COMPUTED_VALUE"""),5.0)</f>
        <v>5</v>
      </c>
      <c r="D24" s="77">
        <f>IFERROR(__xludf.DUMMYFUNCTION("""COMPUTED_VALUE"""),5.0)</f>
        <v>5</v>
      </c>
      <c r="E24" s="77">
        <f>IFERROR(__xludf.DUMMYFUNCTION("""COMPUTED_VALUE"""),5.0)</f>
        <v>5</v>
      </c>
      <c r="F24" s="77">
        <f>IFERROR(__xludf.DUMMYFUNCTION("""COMPUTED_VALUE"""),5.0)</f>
        <v>5</v>
      </c>
      <c r="G24" s="77">
        <f t="shared" si="1"/>
        <v>5</v>
      </c>
    </row>
    <row r="25">
      <c r="A25" s="77">
        <f>IFERROR(__xludf.DUMMYFUNCTION("""COMPUTED_VALUE"""),2.4201193E7)</f>
        <v>24201193</v>
      </c>
      <c r="B25" s="77" t="str">
        <f>IFERROR(__xludf.DUMMYFUNCTION("""COMPUTED_VALUE"""),"Md.Fardin Islam")</f>
        <v>Md.Fardin Islam</v>
      </c>
      <c r="C25" s="77">
        <f>IFERROR(__xludf.DUMMYFUNCTION("""COMPUTED_VALUE"""),5.0)</f>
        <v>5</v>
      </c>
      <c r="D25" s="77">
        <f>IFERROR(__xludf.DUMMYFUNCTION("""COMPUTED_VALUE"""),5.0)</f>
        <v>5</v>
      </c>
      <c r="E25" s="77">
        <f>IFERROR(__xludf.DUMMYFUNCTION("""COMPUTED_VALUE"""),5.0)</f>
        <v>5</v>
      </c>
      <c r="F25" s="77">
        <f>IFERROR(__xludf.DUMMYFUNCTION("""COMPUTED_VALUE"""),5.0)</f>
        <v>5</v>
      </c>
      <c r="G25" s="77">
        <f t="shared" si="1"/>
        <v>5</v>
      </c>
    </row>
    <row r="26">
      <c r="A26" s="77">
        <f>IFERROR(__xludf.DUMMYFUNCTION("""COMPUTED_VALUE"""),2.4201199E7)</f>
        <v>24201199</v>
      </c>
      <c r="B26" s="77" t="str">
        <f>IFERROR(__xludf.DUMMYFUNCTION("""COMPUTED_VALUE"""),"Faiyaz Rahman")</f>
        <v>Faiyaz Rahman</v>
      </c>
      <c r="C26" s="77">
        <f>IFERROR(__xludf.DUMMYFUNCTION("""COMPUTED_VALUE"""),5.0)</f>
        <v>5</v>
      </c>
      <c r="D26" s="77">
        <f>IFERROR(__xludf.DUMMYFUNCTION("""COMPUTED_VALUE"""),5.0)</f>
        <v>5</v>
      </c>
      <c r="E26" s="77">
        <f>IFERROR(__xludf.DUMMYFUNCTION("""COMPUTED_VALUE"""),5.0)</f>
        <v>5</v>
      </c>
      <c r="F26" s="77">
        <f>IFERROR(__xludf.DUMMYFUNCTION("""COMPUTED_VALUE"""),5.0)</f>
        <v>5</v>
      </c>
      <c r="G26" s="77">
        <f t="shared" si="1"/>
        <v>5</v>
      </c>
    </row>
    <row r="27">
      <c r="A27" s="77">
        <f>IFERROR(__xludf.DUMMYFUNCTION("""COMPUTED_VALUE"""),2.4201453E7)</f>
        <v>24201453</v>
      </c>
      <c r="B27" s="77" t="str">
        <f>IFERROR(__xludf.DUMMYFUNCTION("""COMPUTED_VALUE"""),"Md. Zayed Khan")</f>
        <v>Md. Zayed Khan</v>
      </c>
      <c r="C27" s="77">
        <f>IFERROR(__xludf.DUMMYFUNCTION("""COMPUTED_VALUE"""),5.0)</f>
        <v>5</v>
      </c>
      <c r="D27" s="77">
        <f>IFERROR(__xludf.DUMMYFUNCTION("""COMPUTED_VALUE"""),5.0)</f>
        <v>5</v>
      </c>
      <c r="E27" s="77">
        <f>IFERROR(__xludf.DUMMYFUNCTION("""COMPUTED_VALUE"""),5.0)</f>
        <v>5</v>
      </c>
      <c r="F27" s="77">
        <f>IFERROR(__xludf.DUMMYFUNCTION("""COMPUTED_VALUE"""),5.0)</f>
        <v>5</v>
      </c>
      <c r="G27" s="77">
        <f t="shared" si="1"/>
        <v>5</v>
      </c>
    </row>
    <row r="28">
      <c r="A28" s="85">
        <f>IFERROR(__xludf.DUMMYFUNCTION("""COMPUTED_VALUE"""),2.4201455E7)</f>
        <v>24201455</v>
      </c>
      <c r="B28" s="85" t="str">
        <f>IFERROR(__xludf.DUMMYFUNCTION("""COMPUTED_VALUE"""),"Hossain Tasnim Rumki")</f>
        <v>Hossain Tasnim Rumki</v>
      </c>
      <c r="C28" s="85">
        <f>IFERROR(__xludf.DUMMYFUNCTION("""COMPUTED_VALUE"""),5.0)</f>
        <v>5</v>
      </c>
      <c r="D28" s="85">
        <f>IFERROR(__xludf.DUMMYFUNCTION("""COMPUTED_VALUE"""),5.0)</f>
        <v>5</v>
      </c>
      <c r="E28" s="85">
        <f>IFERROR(__xludf.DUMMYFUNCTION("""COMPUTED_VALUE"""),5.0)</f>
        <v>5</v>
      </c>
      <c r="F28" s="85">
        <f>IFERROR(__xludf.DUMMYFUNCTION("""COMPUTED_VALUE"""),5.0)</f>
        <v>5</v>
      </c>
      <c r="G28" s="85">
        <f t="shared" si="1"/>
        <v>5</v>
      </c>
    </row>
    <row r="29">
      <c r="A29" s="77">
        <f>IFERROR(__xludf.DUMMYFUNCTION("""COMPUTED_VALUE"""),2.4204199E7)</f>
        <v>24204199</v>
      </c>
      <c r="B29" s="77" t="str">
        <f>IFERROR(__xludf.DUMMYFUNCTION("""COMPUTED_VALUE"""),"Abdul Mumit Bin Jafor")</f>
        <v>Abdul Mumit Bin Jafor</v>
      </c>
      <c r="C29" s="77">
        <f>IFERROR(__xludf.DUMMYFUNCTION("""COMPUTED_VALUE"""),5.0)</f>
        <v>5</v>
      </c>
      <c r="D29" s="77">
        <f>IFERROR(__xludf.DUMMYFUNCTION("""COMPUTED_VALUE"""),5.0)</f>
        <v>5</v>
      </c>
      <c r="E29" s="77">
        <f>IFERROR(__xludf.DUMMYFUNCTION("""COMPUTED_VALUE"""),5.0)</f>
        <v>5</v>
      </c>
      <c r="F29" s="77">
        <f>IFERROR(__xludf.DUMMYFUNCTION("""COMPUTED_VALUE"""),0.0)</f>
        <v>0</v>
      </c>
      <c r="G29" s="77">
        <f t="shared" si="1"/>
        <v>3.75</v>
      </c>
    </row>
    <row r="30">
      <c r="A30" s="77">
        <f>IFERROR(__xludf.DUMMYFUNCTION("""COMPUTED_VALUE"""),2.4301002E7)</f>
        <v>24301002</v>
      </c>
      <c r="B30" s="77" t="str">
        <f>IFERROR(__xludf.DUMMYFUNCTION("""COMPUTED_VALUE"""),"Wamiza Mehjabin")</f>
        <v>Wamiza Mehjabin</v>
      </c>
      <c r="C30" s="77">
        <f>IFERROR(__xludf.DUMMYFUNCTION("""COMPUTED_VALUE"""),5.0)</f>
        <v>5</v>
      </c>
      <c r="D30" s="77">
        <f>IFERROR(__xludf.DUMMYFUNCTION("""COMPUTED_VALUE"""),5.0)</f>
        <v>5</v>
      </c>
      <c r="E30" s="77">
        <f>IFERROR(__xludf.DUMMYFUNCTION("""COMPUTED_VALUE"""),0.0)</f>
        <v>0</v>
      </c>
      <c r="F30" s="77">
        <f>IFERROR(__xludf.DUMMYFUNCTION("""COMPUTED_VALUE"""),0.0)</f>
        <v>0</v>
      </c>
      <c r="G30" s="77">
        <f t="shared" si="1"/>
        <v>2.5</v>
      </c>
    </row>
    <row r="31">
      <c r="A31" s="77">
        <f>IFERROR(__xludf.DUMMYFUNCTION("""COMPUTED_VALUE"""),2.4301003E7)</f>
        <v>24301003</v>
      </c>
      <c r="B31" s="77" t="str">
        <f>IFERROR(__xludf.DUMMYFUNCTION("""COMPUTED_VALUE"""),"Shahir Sharaf Chowdhury")</f>
        <v>Shahir Sharaf Chowdhury</v>
      </c>
      <c r="C31" s="77">
        <f>IFERROR(__xludf.DUMMYFUNCTION("""COMPUTED_VALUE"""),5.0)</f>
        <v>5</v>
      </c>
      <c r="D31" s="77">
        <f>IFERROR(__xludf.DUMMYFUNCTION("""COMPUTED_VALUE"""),5.0)</f>
        <v>5</v>
      </c>
      <c r="E31" s="77">
        <f>IFERROR(__xludf.DUMMYFUNCTION("""COMPUTED_VALUE"""),0.0)</f>
        <v>0</v>
      </c>
      <c r="F31" s="77">
        <f>IFERROR(__xludf.DUMMYFUNCTION("""COMPUTED_VALUE"""),0.0)</f>
        <v>0</v>
      </c>
      <c r="G31" s="77">
        <f t="shared" si="1"/>
        <v>2.5</v>
      </c>
    </row>
    <row r="32">
      <c r="A32" s="77">
        <f>IFERROR(__xludf.DUMMYFUNCTION("""COMPUTED_VALUE"""),2.4301116E7)</f>
        <v>24301116</v>
      </c>
      <c r="B32" s="77" t="str">
        <f>IFERROR(__xludf.DUMMYFUNCTION("""COMPUTED_VALUE"""),"Mahajabin Islam")</f>
        <v>Mahajabin Islam</v>
      </c>
      <c r="C32" s="77">
        <f>IFERROR(__xludf.DUMMYFUNCTION("""COMPUTED_VALUE"""),5.0)</f>
        <v>5</v>
      </c>
      <c r="D32" s="77">
        <f>IFERROR(__xludf.DUMMYFUNCTION("""COMPUTED_VALUE"""),5.0)</f>
        <v>5</v>
      </c>
      <c r="E32" s="77">
        <f>IFERROR(__xludf.DUMMYFUNCTION("""COMPUTED_VALUE"""),5.0)</f>
        <v>5</v>
      </c>
      <c r="F32" s="77">
        <f>IFERROR(__xludf.DUMMYFUNCTION("""COMPUTED_VALUE"""),5.0)</f>
        <v>5</v>
      </c>
      <c r="G32" s="77">
        <f t="shared" si="1"/>
        <v>5</v>
      </c>
    </row>
    <row r="33">
      <c r="A33" s="77">
        <f>IFERROR(__xludf.DUMMYFUNCTION("""COMPUTED_VALUE"""),2.4301173E7)</f>
        <v>24301173</v>
      </c>
      <c r="B33" s="77" t="str">
        <f>IFERROR(__xludf.DUMMYFUNCTION("""COMPUTED_VALUE"""),"Shahida Rahman")</f>
        <v>Shahida Rahman</v>
      </c>
      <c r="C33" s="77">
        <f>IFERROR(__xludf.DUMMYFUNCTION("""COMPUTED_VALUE"""),5.0)</f>
        <v>5</v>
      </c>
      <c r="D33" s="77">
        <f>IFERROR(__xludf.DUMMYFUNCTION("""COMPUTED_VALUE"""),5.0)</f>
        <v>5</v>
      </c>
      <c r="E33" s="77">
        <f>IFERROR(__xludf.DUMMYFUNCTION("""COMPUTED_VALUE"""),0.0)</f>
        <v>0</v>
      </c>
      <c r="F33" s="77">
        <f>IFERROR(__xludf.DUMMYFUNCTION("""COMPUTED_VALUE"""),5.0)</f>
        <v>5</v>
      </c>
      <c r="G33" s="77">
        <f t="shared" si="1"/>
        <v>3.75</v>
      </c>
    </row>
    <row r="34">
      <c r="A34" s="77">
        <f>IFERROR(__xludf.DUMMYFUNCTION("""COMPUTED_VALUE"""),2.4301197E7)</f>
        <v>24301197</v>
      </c>
      <c r="B34" s="77" t="str">
        <f>IFERROR(__xludf.DUMMYFUNCTION("""COMPUTED_VALUE"""),"Samin Yasar Nafi")</f>
        <v>Samin Yasar Nafi</v>
      </c>
      <c r="C34" s="77">
        <f>IFERROR(__xludf.DUMMYFUNCTION("""COMPUTED_VALUE"""),5.0)</f>
        <v>5</v>
      </c>
      <c r="D34" s="77">
        <f>IFERROR(__xludf.DUMMYFUNCTION("""COMPUTED_VALUE"""),0.0)</f>
        <v>0</v>
      </c>
      <c r="E34" s="77">
        <f>IFERROR(__xludf.DUMMYFUNCTION("""COMPUTED_VALUE"""),0.0)</f>
        <v>0</v>
      </c>
      <c r="F34" s="77">
        <f>IFERROR(__xludf.DUMMYFUNCTION("""COMPUTED_VALUE"""),0.0)</f>
        <v>0</v>
      </c>
      <c r="G34" s="77">
        <f t="shared" si="1"/>
        <v>1.25</v>
      </c>
    </row>
    <row r="35">
      <c r="A35" s="77">
        <f>IFERROR(__xludf.DUMMYFUNCTION("""COMPUTED_VALUE"""),2.4301282E7)</f>
        <v>24301282</v>
      </c>
      <c r="B35" s="77" t="str">
        <f>IFERROR(__xludf.DUMMYFUNCTION("""COMPUTED_VALUE"""),"Samin Nuzaima")</f>
        <v>Samin Nuzaima</v>
      </c>
      <c r="C35" s="77">
        <f>IFERROR(__xludf.DUMMYFUNCTION("""COMPUTED_VALUE"""),5.0)</f>
        <v>5</v>
      </c>
      <c r="D35" s="77">
        <f>IFERROR(__xludf.DUMMYFUNCTION("""COMPUTED_VALUE"""),5.0)</f>
        <v>5</v>
      </c>
      <c r="E35" s="77">
        <f>IFERROR(__xludf.DUMMYFUNCTION("""COMPUTED_VALUE"""),5.0)</f>
        <v>5</v>
      </c>
      <c r="F35" s="77">
        <f>IFERROR(__xludf.DUMMYFUNCTION("""COMPUTED_VALUE"""),5.0)</f>
        <v>5</v>
      </c>
      <c r="G35" s="77">
        <f t="shared" si="1"/>
        <v>5</v>
      </c>
    </row>
    <row r="36">
      <c r="A36" s="77">
        <f>IFERROR(__xludf.DUMMYFUNCTION("""COMPUTED_VALUE"""),2.4321232E7)</f>
        <v>24321232</v>
      </c>
      <c r="B36" s="77" t="str">
        <f>IFERROR(__xludf.DUMMYFUNCTION("""COMPUTED_VALUE"""),"Kazi Yasin Hridoy")</f>
        <v>Kazi Yasin Hridoy</v>
      </c>
      <c r="C36" s="77">
        <f>IFERROR(__xludf.DUMMYFUNCTION("""COMPUTED_VALUE"""),5.0)</f>
        <v>5</v>
      </c>
      <c r="D36" s="77">
        <f>IFERROR(__xludf.DUMMYFUNCTION("""COMPUTED_VALUE"""),5.0)</f>
        <v>5</v>
      </c>
      <c r="E36" s="77">
        <f>IFERROR(__xludf.DUMMYFUNCTION("""COMPUTED_VALUE"""),5.0)</f>
        <v>5</v>
      </c>
      <c r="F36" s="77">
        <f>IFERROR(__xludf.DUMMYFUNCTION("""COMPUTED_VALUE"""),5.0)</f>
        <v>5</v>
      </c>
      <c r="G36" s="77">
        <f t="shared" si="1"/>
        <v>5</v>
      </c>
    </row>
    <row r="37">
      <c r="A37" s="85">
        <f>IFERROR(__xludf.DUMMYFUNCTION("""COMPUTED_VALUE"""),2.4321234E7)</f>
        <v>24321234</v>
      </c>
      <c r="B37" s="86" t="str">
        <f>IFERROR(__xludf.DUMMYFUNCTION("""COMPUTED_VALUE"""),"Al Jayed Rup")</f>
        <v>Al Jayed Rup</v>
      </c>
      <c r="C37" s="77">
        <f>IFERROR(__xludf.DUMMYFUNCTION("""COMPUTED_VALUE"""),5.0)</f>
        <v>5</v>
      </c>
      <c r="D37" s="77">
        <f>IFERROR(__xludf.DUMMYFUNCTION("""COMPUTED_VALUE"""),5.0)</f>
        <v>5</v>
      </c>
      <c r="E37" s="77">
        <f>IFERROR(__xludf.DUMMYFUNCTION("""COMPUTED_VALUE"""),5.0)</f>
        <v>5</v>
      </c>
      <c r="F37" s="77">
        <f>IFERROR(__xludf.DUMMYFUNCTION("""COMPUTED_VALUE"""),5.0)</f>
        <v>5</v>
      </c>
      <c r="G37" s="77">
        <f t="shared" si="1"/>
        <v>5</v>
      </c>
    </row>
    <row r="38">
      <c r="A38" s="77">
        <f>IFERROR(__xludf.DUMMYFUNCTION("""COMPUTED_VALUE"""),2.4341137E7)</f>
        <v>24341137</v>
      </c>
      <c r="B38" s="77" t="str">
        <f>IFERROR(__xludf.DUMMYFUNCTION("""COMPUTED_VALUE"""),"G.M.A Alimul Hayat Shaikot.")</f>
        <v>G.M.A Alimul Hayat Shaikot.</v>
      </c>
      <c r="C38" s="78">
        <f>IFERROR(__xludf.DUMMYFUNCTION("""COMPUTED_VALUE"""),0.0)</f>
        <v>0</v>
      </c>
      <c r="D38" s="78">
        <f>IFERROR(__xludf.DUMMYFUNCTION("""COMPUTED_VALUE"""),0.0)</f>
        <v>0</v>
      </c>
      <c r="E38" s="78">
        <f>IFERROR(__xludf.DUMMYFUNCTION("""COMPUTED_VALUE"""),0.0)</f>
        <v>0</v>
      </c>
      <c r="F38" s="78">
        <f>IFERROR(__xludf.DUMMYFUNCTION("""COMPUTED_VALUE"""),0.0)</f>
        <v>0</v>
      </c>
      <c r="G38" s="78">
        <f t="shared" si="1"/>
        <v>0</v>
      </c>
    </row>
    <row r="39">
      <c r="A39" s="59" t="str">
        <f>Worksheet!A39</f>
        <v/>
      </c>
      <c r="B39" s="59" t="str">
        <f>Worksheet!B39</f>
        <v/>
      </c>
    </row>
    <row r="40">
      <c r="A40" s="59" t="str">
        <f>Worksheet!A40</f>
        <v/>
      </c>
      <c r="B40" s="59" t="str">
        <f>Worksheet!B40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7" t="s">
        <v>143</v>
      </c>
      <c r="B1" s="87" t="s">
        <v>102</v>
      </c>
      <c r="C1" s="87" t="s">
        <v>95</v>
      </c>
      <c r="D1" s="87" t="s">
        <v>144</v>
      </c>
    </row>
    <row r="2">
      <c r="A2" s="59">
        <v>2.0301033E7</v>
      </c>
      <c r="B2" s="59">
        <v>3.490566038</v>
      </c>
      <c r="C2" s="59">
        <v>0.0</v>
      </c>
      <c r="D2" s="59">
        <v>3.490566038</v>
      </c>
    </row>
    <row r="3">
      <c r="A3" s="59">
        <v>2.2101425E7</v>
      </c>
      <c r="B3" s="59">
        <v>3.58490566</v>
      </c>
      <c r="C3" s="59">
        <v>0.0</v>
      </c>
      <c r="D3" s="59">
        <v>3.58490566</v>
      </c>
    </row>
    <row r="4">
      <c r="A4" s="59">
        <v>2.2101748E7</v>
      </c>
      <c r="B4" s="59">
        <v>2.075471698</v>
      </c>
      <c r="C4" s="59">
        <v>0.0</v>
      </c>
      <c r="D4" s="59">
        <v>2.075471698</v>
      </c>
    </row>
    <row r="5">
      <c r="A5" s="59">
        <v>2.2299296E7</v>
      </c>
      <c r="B5" s="59">
        <v>1.226415094</v>
      </c>
      <c r="C5" s="59">
        <v>0.0</v>
      </c>
      <c r="D5" s="59">
        <v>1.226415094</v>
      </c>
    </row>
    <row r="6">
      <c r="A6" s="59">
        <v>2.3101075E7</v>
      </c>
      <c r="B6" s="59">
        <v>0.0</v>
      </c>
      <c r="C6" s="59">
        <v>0.0</v>
      </c>
      <c r="D6" s="59">
        <v>0.0</v>
      </c>
    </row>
    <row r="7">
      <c r="A7" s="59">
        <v>2.3101101E7</v>
      </c>
      <c r="B7" s="59">
        <v>1.981132075</v>
      </c>
      <c r="C7" s="59">
        <v>0.0</v>
      </c>
      <c r="D7" s="59">
        <v>1.981132075</v>
      </c>
    </row>
    <row r="8">
      <c r="A8" s="59">
        <v>2.3101271E7</v>
      </c>
      <c r="B8" s="59">
        <v>11.6918239</v>
      </c>
      <c r="C8" s="59">
        <v>9.333333333</v>
      </c>
      <c r="D8" s="59">
        <v>2.358490566</v>
      </c>
    </row>
    <row r="9">
      <c r="A9" s="59">
        <v>2.3101378E7</v>
      </c>
      <c r="B9" s="59">
        <v>11.43396226</v>
      </c>
      <c r="C9" s="59">
        <v>7.0</v>
      </c>
      <c r="D9" s="59">
        <v>4.433962264</v>
      </c>
    </row>
    <row r="10">
      <c r="A10" s="59">
        <v>2.3141047E7</v>
      </c>
      <c r="B10" s="59">
        <v>1.226415094</v>
      </c>
      <c r="C10" s="59">
        <v>0.0</v>
      </c>
      <c r="D10" s="59">
        <v>1.226415094</v>
      </c>
    </row>
    <row r="11">
      <c r="A11" s="59">
        <v>2.3201093E7</v>
      </c>
      <c r="B11" s="59">
        <v>5.0</v>
      </c>
      <c r="C11" s="59">
        <v>0.0</v>
      </c>
      <c r="D11" s="59">
        <v>5.0</v>
      </c>
    </row>
    <row r="12">
      <c r="A12" s="59">
        <v>2.3201659E7</v>
      </c>
      <c r="B12" s="59">
        <v>2.503144654</v>
      </c>
      <c r="C12" s="59">
        <v>0.3333333333</v>
      </c>
      <c r="D12" s="59">
        <v>2.169811321</v>
      </c>
    </row>
    <row r="13">
      <c r="A13" s="59">
        <v>2.330141E7</v>
      </c>
      <c r="B13" s="59">
        <v>0.0</v>
      </c>
      <c r="C13" s="59">
        <v>0.0</v>
      </c>
      <c r="D13" s="59">
        <v>3.301886792</v>
      </c>
    </row>
    <row r="14">
      <c r="A14" s="59">
        <v>2.3301602E7</v>
      </c>
      <c r="B14" s="59">
        <v>3.886792453</v>
      </c>
      <c r="C14" s="59">
        <v>2.0</v>
      </c>
      <c r="D14" s="59">
        <v>1.886792453</v>
      </c>
    </row>
    <row r="15">
      <c r="A15" s="59">
        <v>2.410139E7</v>
      </c>
      <c r="B15" s="59">
        <v>3.867924528</v>
      </c>
      <c r="C15" s="59">
        <v>0.0</v>
      </c>
      <c r="D15" s="59">
        <v>3.867924528</v>
      </c>
    </row>
    <row r="16">
      <c r="A16" s="59">
        <v>2.4101392E7</v>
      </c>
      <c r="B16" s="59">
        <v>15.0</v>
      </c>
      <c r="C16" s="59">
        <v>10.0</v>
      </c>
      <c r="D16" s="59">
        <v>5.0</v>
      </c>
    </row>
    <row r="17">
      <c r="A17" s="59">
        <v>2.4101431E7</v>
      </c>
      <c r="B17" s="59">
        <v>14.43396226</v>
      </c>
      <c r="C17" s="59">
        <v>10.0</v>
      </c>
      <c r="D17" s="59">
        <v>4.433962264</v>
      </c>
    </row>
    <row r="18">
      <c r="A18" s="59">
        <v>2.4101442E7</v>
      </c>
      <c r="B18" s="59">
        <v>8.333333333</v>
      </c>
      <c r="C18" s="59">
        <v>3.333333333</v>
      </c>
      <c r="D18" s="59">
        <v>5.0</v>
      </c>
    </row>
    <row r="19">
      <c r="A19" s="59">
        <v>2.4121353E7</v>
      </c>
      <c r="B19" s="59">
        <v>7.012578616</v>
      </c>
      <c r="C19" s="59">
        <v>3.333333333</v>
      </c>
      <c r="D19" s="59">
        <v>3.679245283</v>
      </c>
    </row>
    <row r="20">
      <c r="A20" s="59">
        <v>2.4141008E7</v>
      </c>
      <c r="B20" s="59">
        <v>0.0</v>
      </c>
      <c r="C20" s="59">
        <v>3.333333333</v>
      </c>
      <c r="D20" s="59">
        <v>4.339622642</v>
      </c>
    </row>
    <row r="21">
      <c r="A21" s="59">
        <v>2.4141155E7</v>
      </c>
      <c r="B21" s="59">
        <v>2.924528302</v>
      </c>
      <c r="C21" s="59">
        <v>0.0</v>
      </c>
      <c r="D21" s="59">
        <v>2.924528302</v>
      </c>
    </row>
    <row r="22">
      <c r="A22" s="59">
        <v>2.420109E7</v>
      </c>
      <c r="B22" s="59">
        <v>22.0</v>
      </c>
      <c r="C22" s="59">
        <v>17.0</v>
      </c>
      <c r="D22" s="59">
        <v>5.0</v>
      </c>
    </row>
    <row r="23">
      <c r="A23" s="59">
        <v>2.4201165E7</v>
      </c>
      <c r="B23" s="59">
        <v>5.333333333</v>
      </c>
      <c r="C23" s="59">
        <v>0.3333333333</v>
      </c>
      <c r="D23" s="59">
        <v>5.0</v>
      </c>
    </row>
    <row r="24">
      <c r="A24" s="59">
        <v>2.4201176E7</v>
      </c>
      <c r="B24" s="59">
        <v>8.905660377</v>
      </c>
      <c r="C24" s="59">
        <v>4.0</v>
      </c>
      <c r="D24" s="59">
        <v>4.905660377</v>
      </c>
    </row>
    <row r="25">
      <c r="A25" s="59">
        <v>2.4201193E7</v>
      </c>
      <c r="B25" s="59">
        <v>21.0</v>
      </c>
      <c r="C25" s="59">
        <v>16.0</v>
      </c>
      <c r="D25" s="59">
        <v>5.0</v>
      </c>
    </row>
    <row r="26">
      <c r="A26" s="59">
        <v>2.4201199E7</v>
      </c>
      <c r="B26" s="59">
        <v>25.0</v>
      </c>
      <c r="C26" s="59">
        <v>20.0</v>
      </c>
      <c r="D26" s="59">
        <v>5.0</v>
      </c>
    </row>
    <row r="27">
      <c r="A27" s="59">
        <v>2.4201453E7</v>
      </c>
      <c r="B27" s="59">
        <v>4.339622642</v>
      </c>
      <c r="C27" s="59">
        <v>0.0</v>
      </c>
      <c r="D27" s="59">
        <v>4.339622642</v>
      </c>
    </row>
    <row r="28">
      <c r="A28" s="59">
        <v>2.4201455E7</v>
      </c>
      <c r="B28" s="59">
        <v>5.666666667</v>
      </c>
      <c r="C28" s="59">
        <v>0.6666666667</v>
      </c>
      <c r="D28" s="59">
        <v>5.0</v>
      </c>
    </row>
    <row r="29">
      <c r="A29" s="59">
        <v>2.4204199E7</v>
      </c>
      <c r="B29" s="59">
        <v>7.86163522</v>
      </c>
      <c r="C29" s="59">
        <v>3.333333333</v>
      </c>
      <c r="D29" s="59">
        <v>4.528301887</v>
      </c>
    </row>
    <row r="30">
      <c r="A30" s="59">
        <v>2.4301002E7</v>
      </c>
      <c r="B30" s="59">
        <v>0.0</v>
      </c>
      <c r="C30" s="59">
        <v>0.0</v>
      </c>
      <c r="D30" s="59">
        <v>0.0</v>
      </c>
    </row>
    <row r="31">
      <c r="A31" s="59">
        <v>2.4301003E7</v>
      </c>
      <c r="B31" s="59">
        <v>2.452830189</v>
      </c>
      <c r="C31" s="59">
        <v>0.0</v>
      </c>
      <c r="D31" s="59">
        <v>2.452830189</v>
      </c>
    </row>
    <row r="32">
      <c r="A32" s="59">
        <v>2.4301116E7</v>
      </c>
      <c r="B32" s="59">
        <v>14.81132075</v>
      </c>
      <c r="C32" s="59">
        <v>10.0</v>
      </c>
      <c r="D32" s="59">
        <v>4.811320755</v>
      </c>
    </row>
    <row r="33">
      <c r="A33" s="59">
        <v>2.4301173E7</v>
      </c>
      <c r="B33" s="59">
        <v>3.20754717</v>
      </c>
      <c r="C33" s="59">
        <v>0.0</v>
      </c>
      <c r="D33" s="59">
        <v>3.20754717</v>
      </c>
    </row>
    <row r="34">
      <c r="A34" s="59">
        <v>2.4301197E7</v>
      </c>
      <c r="B34" s="59">
        <v>2.176100629</v>
      </c>
      <c r="C34" s="59">
        <v>0.6666666667</v>
      </c>
      <c r="D34" s="59">
        <v>1.509433962</v>
      </c>
    </row>
    <row r="35">
      <c r="A35" s="59">
        <v>2.4301282E7</v>
      </c>
      <c r="B35" s="59">
        <v>5.0</v>
      </c>
      <c r="C35" s="59">
        <v>0.0</v>
      </c>
      <c r="D35" s="59">
        <v>5.0</v>
      </c>
    </row>
    <row r="36">
      <c r="A36" s="59">
        <v>2.4321232E7</v>
      </c>
      <c r="B36" s="59">
        <v>11.10691824</v>
      </c>
      <c r="C36" s="59">
        <v>7.333333333</v>
      </c>
      <c r="D36" s="59">
        <v>3.773584906</v>
      </c>
    </row>
    <row r="37">
      <c r="A37" s="59">
        <v>2.4321234E7</v>
      </c>
      <c r="B37" s="59">
        <v>3.018867925</v>
      </c>
      <c r="C37" s="59">
        <v>0.0</v>
      </c>
      <c r="D37" s="59">
        <v>3.018867925</v>
      </c>
    </row>
    <row r="38">
      <c r="A38" s="59">
        <v>2.4341137E7</v>
      </c>
      <c r="B38" s="59">
        <v>0.0</v>
      </c>
      <c r="C38" s="59">
        <v>0.0</v>
      </c>
      <c r="D38" s="59">
        <v>0.0</v>
      </c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  <row r="1001">
      <c r="A1001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4.43"/>
    <col customWidth="1" min="2" max="2" width="14.14"/>
    <col customWidth="1" min="3" max="3" width="37.0"/>
    <col customWidth="1" hidden="1" min="4" max="4" width="6.57"/>
    <col customWidth="1" min="5" max="6" width="6.86"/>
    <col customWidth="1" min="7" max="7" width="9.14"/>
    <col customWidth="1" min="8" max="8" width="10.29"/>
    <col customWidth="1" hidden="1" min="9" max="9" width="8.29"/>
    <col customWidth="1" hidden="1" min="10" max="10" width="9.43"/>
    <col customWidth="1" min="11" max="11" width="9.14"/>
    <col customWidth="1" min="12" max="12" width="8.0"/>
    <col customWidth="1" min="13" max="13" width="7.71"/>
    <col customWidth="1" min="14" max="14" width="11.86"/>
    <col customWidth="1" min="15" max="15" width="11.14"/>
    <col customWidth="1" min="16" max="26" width="16.43"/>
  </cols>
  <sheetData>
    <row r="1" ht="12.75" customHeight="1">
      <c r="A1" s="88"/>
      <c r="B1" s="89"/>
      <c r="C1" s="90" t="s">
        <v>81</v>
      </c>
      <c r="D1" s="91"/>
      <c r="E1" s="91"/>
      <c r="F1" s="91"/>
      <c r="G1" s="92"/>
      <c r="H1" s="92"/>
      <c r="I1" s="91"/>
      <c r="J1" s="91"/>
      <c r="K1" s="91"/>
      <c r="L1" s="91"/>
      <c r="M1" s="91"/>
      <c r="N1" s="93"/>
      <c r="O1" s="93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12.75" customHeight="1">
      <c r="A2" s="88"/>
      <c r="B2" s="89"/>
      <c r="C2" s="90" t="s">
        <v>82</v>
      </c>
      <c r="D2" s="91"/>
      <c r="E2" s="92"/>
      <c r="F2" s="92"/>
      <c r="G2" s="91"/>
      <c r="H2" s="91"/>
      <c r="I2" s="91"/>
      <c r="J2" s="91"/>
      <c r="K2" s="91"/>
      <c r="L2" s="91"/>
      <c r="M2" s="91"/>
      <c r="N2" s="91"/>
      <c r="O2" s="91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12.75" customHeight="1">
      <c r="A3" s="88"/>
      <c r="B3" s="89"/>
      <c r="C3" s="90" t="s">
        <v>83</v>
      </c>
      <c r="D3" s="91"/>
      <c r="E3" s="92"/>
      <c r="F3" s="92"/>
      <c r="G3" s="91"/>
      <c r="H3" s="91"/>
      <c r="I3" s="91"/>
      <c r="J3" s="91"/>
      <c r="K3" s="91"/>
      <c r="L3" s="91"/>
      <c r="M3" s="91"/>
      <c r="N3" s="91"/>
      <c r="O3" s="91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12.75" customHeight="1">
      <c r="A4" s="88"/>
      <c r="B4" s="90"/>
      <c r="C4" s="90" t="s">
        <v>84</v>
      </c>
      <c r="D4" s="91"/>
      <c r="E4" s="92"/>
      <c r="F4" s="92"/>
      <c r="G4" s="92"/>
      <c r="H4" s="92"/>
      <c r="I4" s="92"/>
      <c r="J4" s="92"/>
      <c r="K4" s="92"/>
      <c r="L4" s="92"/>
      <c r="M4" s="92"/>
      <c r="N4" s="92"/>
      <c r="O4" s="91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12.75" customHeight="1">
      <c r="A5" s="93"/>
      <c r="B5" s="94" t="s">
        <v>85</v>
      </c>
      <c r="C5" s="95" t="s">
        <v>86</v>
      </c>
      <c r="D5" s="91"/>
      <c r="E5" s="91"/>
      <c r="F5" s="91"/>
      <c r="G5" s="92"/>
      <c r="H5" s="92"/>
      <c r="I5" s="92"/>
      <c r="J5" s="92"/>
      <c r="K5" s="92"/>
      <c r="L5" s="92"/>
      <c r="M5" s="92"/>
      <c r="N5" s="92"/>
      <c r="O5" s="93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12.75" customHeight="1">
      <c r="A6" s="93"/>
      <c r="B6" s="94" t="s">
        <v>87</v>
      </c>
      <c r="C6" s="95" t="s">
        <v>88</v>
      </c>
      <c r="D6" s="93"/>
      <c r="E6" s="93"/>
      <c r="F6" s="93"/>
      <c r="G6" s="92"/>
      <c r="H6" s="92"/>
      <c r="I6" s="92"/>
      <c r="J6" s="92"/>
      <c r="K6" s="92"/>
      <c r="L6" s="92"/>
      <c r="M6" s="92"/>
      <c r="N6" s="92"/>
      <c r="O6" s="93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12.75" customHeight="1">
      <c r="A7" s="93"/>
      <c r="B7" s="94" t="s">
        <v>89</v>
      </c>
      <c r="C7" s="95">
        <v>20.0</v>
      </c>
      <c r="D7" s="93"/>
      <c r="E7" s="93"/>
      <c r="F7" s="93"/>
      <c r="G7" s="92"/>
      <c r="H7" s="92"/>
      <c r="I7" s="92"/>
      <c r="J7" s="92"/>
      <c r="K7" s="92"/>
      <c r="L7" s="92"/>
      <c r="M7" s="92"/>
      <c r="N7" s="92"/>
      <c r="O7" s="93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12.75" customHeight="1">
      <c r="A8" s="93"/>
      <c r="B8" s="94" t="s">
        <v>90</v>
      </c>
      <c r="C8" s="95" t="s">
        <v>91</v>
      </c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12.75" customHeight="1">
      <c r="A9" s="96" t="s">
        <v>92</v>
      </c>
      <c r="B9" s="96" t="s">
        <v>93</v>
      </c>
      <c r="C9" s="97" t="s">
        <v>1</v>
      </c>
      <c r="D9" s="97" t="s">
        <v>94</v>
      </c>
      <c r="E9" s="97" t="s">
        <v>95</v>
      </c>
      <c r="F9" s="97" t="s">
        <v>96</v>
      </c>
      <c r="G9" s="97" t="s">
        <v>97</v>
      </c>
      <c r="H9" s="97" t="s">
        <v>98</v>
      </c>
      <c r="I9" s="97" t="s">
        <v>99</v>
      </c>
      <c r="J9" s="97" t="s">
        <v>100</v>
      </c>
      <c r="K9" s="97" t="s">
        <v>101</v>
      </c>
      <c r="L9" s="97" t="s">
        <v>102</v>
      </c>
      <c r="M9" s="97" t="s">
        <v>102</v>
      </c>
      <c r="N9" s="97" t="s">
        <v>103</v>
      </c>
      <c r="O9" s="97" t="s">
        <v>104</v>
      </c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15.0" customHeight="1">
      <c r="A10" s="96"/>
      <c r="B10" s="96"/>
      <c r="C10" s="97"/>
      <c r="D10" s="98">
        <v>0.0</v>
      </c>
      <c r="E10" s="98">
        <v>0.2</v>
      </c>
      <c r="F10" s="98">
        <v>0.05</v>
      </c>
      <c r="G10" s="98">
        <v>0.25</v>
      </c>
      <c r="H10" s="98">
        <v>0.2</v>
      </c>
      <c r="I10" s="98">
        <v>0.0</v>
      </c>
      <c r="J10" s="98">
        <v>0.0</v>
      </c>
      <c r="K10" s="98">
        <v>0.3</v>
      </c>
      <c r="L10" s="99">
        <f>SUM(D10:K10)*100</f>
        <v>100</v>
      </c>
      <c r="M10" s="98">
        <f>SUM(D10:K10)</f>
        <v>1</v>
      </c>
      <c r="N10" s="97" t="s">
        <v>105</v>
      </c>
      <c r="O10" s="97" t="s">
        <v>106</v>
      </c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4.0" customHeight="1">
      <c r="A11" s="100">
        <v>1.0</v>
      </c>
      <c r="B11" s="101">
        <f>Worksheet!A2</f>
        <v>20301033</v>
      </c>
      <c r="C11" s="101" t="str">
        <f>Worksheet!B2</f>
        <v>Amlan Dutta</v>
      </c>
      <c r="D11" s="102"/>
      <c r="E11" s="102"/>
      <c r="F11" s="102"/>
      <c r="G11" s="102"/>
      <c r="H11" s="102"/>
      <c r="I11" s="102"/>
      <c r="J11" s="102"/>
      <c r="K11" s="102"/>
      <c r="L11" s="103">
        <f t="shared" ref="L11:L42" si="1">SUM(D11:K11)</f>
        <v>0</v>
      </c>
      <c r="M11" s="102">
        <f t="shared" ref="M11:M42" si="2">IF(AND(L11&gt;=96.5,L11&lt;97),L11,ROUND(L11,0))</f>
        <v>0</v>
      </c>
      <c r="N11" s="104" t="str">
        <f t="shared" ref="N11:N42" si="3">IF(M11&lt;65,IF(M11&lt;55,IF(M11&lt;52,IF(M11&lt;50,"F","D-"),"D"),IF(M11&lt;57,"D+",IF(M11&lt;60,"C-","C"))),IF(M11&lt;75,IF(M11&lt;70,"C+","B-"),IF(M11&lt;85,IF(M11&lt;80,"B","B+"),IF(M11&lt;90,"A-",IF(M11&lt;97,"A","A+")))))</f>
        <v>F</v>
      </c>
      <c r="O11" s="104" t="str">
        <f t="shared" ref="O11:O42" si="4">IF(M11&lt;65,IF(M11&lt;55,IF(M11&lt;52,IF(M11&lt;50,"PLAIN","MINUS"),"PLAIN"),IF(M11&lt;57,"PLUS",IF(M11&lt;60,"MINUS","PLAIN"))),IF(M11&lt;75,IF(M11&lt;70,"PLUS","MINUS"),IF(M11&lt;85,IF(M11&lt;80,"PLAIN","PLUS"),IF(M11&lt;90,"MINUS",IF(M11&lt;97,"PLAIN","PLUS")))))</f>
        <v>PLAIN</v>
      </c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4.0" customHeight="1">
      <c r="A12" s="105">
        <v>2.0</v>
      </c>
      <c r="B12" s="101">
        <f>Worksheet!A3</f>
        <v>22101425</v>
      </c>
      <c r="C12" s="101" t="str">
        <f>Worksheet!B3</f>
        <v>Khandokar Yusuf Khalid</v>
      </c>
      <c r="D12" s="103"/>
      <c r="E12" s="103"/>
      <c r="F12" s="103"/>
      <c r="G12" s="103"/>
      <c r="H12" s="103"/>
      <c r="I12" s="103"/>
      <c r="J12" s="103"/>
      <c r="K12" s="103"/>
      <c r="L12" s="103">
        <f t="shared" si="1"/>
        <v>0</v>
      </c>
      <c r="M12" s="102">
        <f t="shared" si="2"/>
        <v>0</v>
      </c>
      <c r="N12" s="104" t="str">
        <f t="shared" si="3"/>
        <v>F</v>
      </c>
      <c r="O12" s="104" t="str">
        <f t="shared" si="4"/>
        <v>PLAIN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4.0" customHeight="1">
      <c r="A13" s="100">
        <v>3.0</v>
      </c>
      <c r="B13" s="101">
        <f>Worksheet!A4</f>
        <v>22101748</v>
      </c>
      <c r="C13" s="101" t="str">
        <f>Worksheet!B4</f>
        <v>Mst. Zubaida Haque Jetu</v>
      </c>
      <c r="D13" s="103"/>
      <c r="E13" s="103"/>
      <c r="F13" s="103"/>
      <c r="G13" s="103"/>
      <c r="H13" s="103"/>
      <c r="I13" s="103"/>
      <c r="J13" s="103"/>
      <c r="K13" s="103"/>
      <c r="L13" s="103">
        <f t="shared" si="1"/>
        <v>0</v>
      </c>
      <c r="M13" s="102">
        <f t="shared" si="2"/>
        <v>0</v>
      </c>
      <c r="N13" s="104" t="str">
        <f t="shared" si="3"/>
        <v>F</v>
      </c>
      <c r="O13" s="104" t="str">
        <f t="shared" si="4"/>
        <v>PLAIN</v>
      </c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24.0" customHeight="1">
      <c r="A14" s="105">
        <v>4.0</v>
      </c>
      <c r="B14" s="101">
        <f>Worksheet!A5</f>
        <v>22299296</v>
      </c>
      <c r="C14" s="101" t="str">
        <f>Worksheet!B5</f>
        <v>Raihan Karim</v>
      </c>
      <c r="D14" s="103"/>
      <c r="E14" s="103"/>
      <c r="F14" s="103"/>
      <c r="G14" s="103"/>
      <c r="H14" s="103"/>
      <c r="I14" s="103"/>
      <c r="J14" s="103"/>
      <c r="K14" s="103"/>
      <c r="L14" s="103">
        <f t="shared" si="1"/>
        <v>0</v>
      </c>
      <c r="M14" s="102">
        <f t="shared" si="2"/>
        <v>0</v>
      </c>
      <c r="N14" s="104" t="str">
        <f t="shared" si="3"/>
        <v>F</v>
      </c>
      <c r="O14" s="104" t="str">
        <f t="shared" si="4"/>
        <v>PLAIN</v>
      </c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24.0" customHeight="1">
      <c r="A15" s="100">
        <v>5.0</v>
      </c>
      <c r="B15" s="101">
        <f>Worksheet!A6</f>
        <v>23101075</v>
      </c>
      <c r="C15" s="101" t="str">
        <f>Worksheet!B6</f>
        <v>Abida Nowsheen</v>
      </c>
      <c r="D15" s="103"/>
      <c r="E15" s="103"/>
      <c r="F15" s="103"/>
      <c r="G15" s="103"/>
      <c r="H15" s="103"/>
      <c r="I15" s="103"/>
      <c r="J15" s="103"/>
      <c r="K15" s="103"/>
      <c r="L15" s="103">
        <f t="shared" si="1"/>
        <v>0</v>
      </c>
      <c r="M15" s="102">
        <f t="shared" si="2"/>
        <v>0</v>
      </c>
      <c r="N15" s="104" t="str">
        <f t="shared" si="3"/>
        <v>F</v>
      </c>
      <c r="O15" s="104" t="str">
        <f t="shared" si="4"/>
        <v>PLAIN</v>
      </c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4.0" customHeight="1">
      <c r="A16" s="105">
        <v>6.0</v>
      </c>
      <c r="B16" s="101">
        <f>Worksheet!A7</f>
        <v>23101101</v>
      </c>
      <c r="C16" s="101" t="str">
        <f>Worksheet!B7</f>
        <v>Jubaida Jahan Prapti</v>
      </c>
      <c r="D16" s="103"/>
      <c r="E16" s="103"/>
      <c r="F16" s="103"/>
      <c r="G16" s="103"/>
      <c r="H16" s="103"/>
      <c r="I16" s="103"/>
      <c r="J16" s="103"/>
      <c r="K16" s="103"/>
      <c r="L16" s="103">
        <f t="shared" si="1"/>
        <v>0</v>
      </c>
      <c r="M16" s="102">
        <f t="shared" si="2"/>
        <v>0</v>
      </c>
      <c r="N16" s="104" t="str">
        <f t="shared" si="3"/>
        <v>F</v>
      </c>
      <c r="O16" s="104" t="str">
        <f t="shared" si="4"/>
        <v>PLAIN</v>
      </c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24.0" customHeight="1">
      <c r="A17" s="100">
        <v>7.0</v>
      </c>
      <c r="B17" s="101">
        <f>Worksheet!A8</f>
        <v>23101271</v>
      </c>
      <c r="C17" s="101" t="str">
        <f>Worksheet!B8</f>
        <v>Sazid Chowdhury</v>
      </c>
      <c r="D17" s="103"/>
      <c r="E17" s="103"/>
      <c r="F17" s="103"/>
      <c r="G17" s="103"/>
      <c r="H17" s="103"/>
      <c r="I17" s="103"/>
      <c r="J17" s="103"/>
      <c r="K17" s="103"/>
      <c r="L17" s="103">
        <f t="shared" si="1"/>
        <v>0</v>
      </c>
      <c r="M17" s="102">
        <f t="shared" si="2"/>
        <v>0</v>
      </c>
      <c r="N17" s="104" t="str">
        <f t="shared" si="3"/>
        <v>F</v>
      </c>
      <c r="O17" s="104" t="str">
        <f t="shared" si="4"/>
        <v>PLAIN</v>
      </c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24.0" customHeight="1">
      <c r="A18" s="105">
        <v>8.0</v>
      </c>
      <c r="B18" s="101">
        <f>Worksheet!A9</f>
        <v>23101378</v>
      </c>
      <c r="C18" s="101" t="str">
        <f>Worksheet!B9</f>
        <v>Sharif Al Rezoan</v>
      </c>
      <c r="D18" s="103"/>
      <c r="E18" s="103"/>
      <c r="F18" s="103"/>
      <c r="G18" s="103"/>
      <c r="H18" s="103"/>
      <c r="I18" s="103"/>
      <c r="J18" s="103"/>
      <c r="K18" s="103"/>
      <c r="L18" s="103">
        <f t="shared" si="1"/>
        <v>0</v>
      </c>
      <c r="M18" s="102">
        <f t="shared" si="2"/>
        <v>0</v>
      </c>
      <c r="N18" s="104" t="str">
        <f t="shared" si="3"/>
        <v>F</v>
      </c>
      <c r="O18" s="104" t="str">
        <f t="shared" si="4"/>
        <v>PLAIN</v>
      </c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24.0" customHeight="1">
      <c r="A19" s="100">
        <v>9.0</v>
      </c>
      <c r="B19" s="101">
        <f>Worksheet!A10</f>
        <v>23141047</v>
      </c>
      <c r="C19" s="101" t="str">
        <f>Worksheet!B10</f>
        <v>Mohammad Rashik Ruhullah Rafi</v>
      </c>
      <c r="D19" s="103"/>
      <c r="E19" s="103"/>
      <c r="F19" s="103"/>
      <c r="G19" s="103"/>
      <c r="H19" s="103"/>
      <c r="I19" s="103"/>
      <c r="J19" s="103"/>
      <c r="K19" s="103"/>
      <c r="L19" s="103">
        <f t="shared" si="1"/>
        <v>0</v>
      </c>
      <c r="M19" s="102">
        <f t="shared" si="2"/>
        <v>0</v>
      </c>
      <c r="N19" s="104" t="str">
        <f t="shared" si="3"/>
        <v>F</v>
      </c>
      <c r="O19" s="104" t="str">
        <f t="shared" si="4"/>
        <v>PLAIN</v>
      </c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24.0" customHeight="1">
      <c r="A20" s="105">
        <v>10.0</v>
      </c>
      <c r="B20" s="101">
        <f>Worksheet!A11</f>
        <v>23201093</v>
      </c>
      <c r="C20" s="101" t="str">
        <f>Worksheet!B11</f>
        <v>S.A.Rahman</v>
      </c>
      <c r="D20" s="103"/>
      <c r="E20" s="103"/>
      <c r="F20" s="103"/>
      <c r="G20" s="103"/>
      <c r="H20" s="103"/>
      <c r="I20" s="103"/>
      <c r="J20" s="103"/>
      <c r="K20" s="103"/>
      <c r="L20" s="103">
        <f t="shared" si="1"/>
        <v>0</v>
      </c>
      <c r="M20" s="102">
        <f t="shared" si="2"/>
        <v>0</v>
      </c>
      <c r="N20" s="104" t="str">
        <f t="shared" si="3"/>
        <v>F</v>
      </c>
      <c r="O20" s="104" t="str">
        <f t="shared" si="4"/>
        <v>PLAIN</v>
      </c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24.0" customHeight="1">
      <c r="A21" s="100">
        <v>11.0</v>
      </c>
      <c r="B21" s="101">
        <f>Worksheet!A12</f>
        <v>23201659</v>
      </c>
      <c r="C21" s="101" t="str">
        <f>Worksheet!B12</f>
        <v>Maisha Sanjida Akhi</v>
      </c>
      <c r="D21" s="103"/>
      <c r="E21" s="103"/>
      <c r="F21" s="103"/>
      <c r="G21" s="103"/>
      <c r="H21" s="103"/>
      <c r="I21" s="103"/>
      <c r="J21" s="103"/>
      <c r="K21" s="103"/>
      <c r="L21" s="103">
        <f t="shared" si="1"/>
        <v>0</v>
      </c>
      <c r="M21" s="102">
        <f t="shared" si="2"/>
        <v>0</v>
      </c>
      <c r="N21" s="104" t="str">
        <f t="shared" si="3"/>
        <v>F</v>
      </c>
      <c r="O21" s="104" t="str">
        <f t="shared" si="4"/>
        <v>PLAIN</v>
      </c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24.0" customHeight="1">
      <c r="A22" s="105">
        <v>12.0</v>
      </c>
      <c r="B22" s="101">
        <f>Worksheet!A13</f>
        <v>23301410</v>
      </c>
      <c r="C22" s="101" t="str">
        <f>Worksheet!B13</f>
        <v>Rafid Shahriar Auvro</v>
      </c>
      <c r="D22" s="103"/>
      <c r="E22" s="103"/>
      <c r="F22" s="103"/>
      <c r="G22" s="103"/>
      <c r="H22" s="103"/>
      <c r="I22" s="103"/>
      <c r="J22" s="103"/>
      <c r="K22" s="103"/>
      <c r="L22" s="103">
        <f t="shared" si="1"/>
        <v>0</v>
      </c>
      <c r="M22" s="102">
        <f t="shared" si="2"/>
        <v>0</v>
      </c>
      <c r="N22" s="104" t="str">
        <f t="shared" si="3"/>
        <v>F</v>
      </c>
      <c r="O22" s="104" t="str">
        <f t="shared" si="4"/>
        <v>PLAIN</v>
      </c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24.0" customHeight="1">
      <c r="A23" s="100">
        <v>13.0</v>
      </c>
      <c r="B23" s="101">
        <f>Worksheet!A14</f>
        <v>23301602</v>
      </c>
      <c r="C23" s="101" t="str">
        <f>Worksheet!B14</f>
        <v>Farhan Anjum</v>
      </c>
      <c r="D23" s="103"/>
      <c r="E23" s="103"/>
      <c r="F23" s="103"/>
      <c r="G23" s="103"/>
      <c r="H23" s="103"/>
      <c r="I23" s="103"/>
      <c r="J23" s="103"/>
      <c r="K23" s="103"/>
      <c r="L23" s="103">
        <f t="shared" si="1"/>
        <v>0</v>
      </c>
      <c r="M23" s="102">
        <f t="shared" si="2"/>
        <v>0</v>
      </c>
      <c r="N23" s="104" t="str">
        <f t="shared" si="3"/>
        <v>F</v>
      </c>
      <c r="O23" s="104" t="str">
        <f t="shared" si="4"/>
        <v>PLAIN</v>
      </c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24.0" customHeight="1">
      <c r="A24" s="105">
        <v>14.0</v>
      </c>
      <c r="B24" s="101">
        <f>Worksheet!A15</f>
        <v>24101390</v>
      </c>
      <c r="C24" s="101" t="str">
        <f>Worksheet!B15</f>
        <v>P. M. Mushfiqur Shium</v>
      </c>
      <c r="D24" s="103"/>
      <c r="E24" s="103"/>
      <c r="F24" s="103"/>
      <c r="G24" s="103"/>
      <c r="H24" s="103"/>
      <c r="I24" s="103"/>
      <c r="J24" s="103"/>
      <c r="K24" s="103"/>
      <c r="L24" s="103">
        <f t="shared" si="1"/>
        <v>0</v>
      </c>
      <c r="M24" s="102">
        <f t="shared" si="2"/>
        <v>0</v>
      </c>
      <c r="N24" s="104" t="str">
        <f t="shared" si="3"/>
        <v>F</v>
      </c>
      <c r="O24" s="104" t="str">
        <f t="shared" si="4"/>
        <v>PLAIN</v>
      </c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24.0" customHeight="1">
      <c r="A25" s="100">
        <v>15.0</v>
      </c>
      <c r="B25" s="101">
        <f>Worksheet!A16</f>
        <v>24101392</v>
      </c>
      <c r="C25" s="101" t="str">
        <f>Worksheet!B16</f>
        <v>Fardin Islam</v>
      </c>
      <c r="D25" s="103"/>
      <c r="E25" s="103"/>
      <c r="F25" s="103"/>
      <c r="G25" s="103"/>
      <c r="H25" s="103"/>
      <c r="I25" s="103"/>
      <c r="J25" s="103"/>
      <c r="K25" s="103"/>
      <c r="L25" s="103">
        <f t="shared" si="1"/>
        <v>0</v>
      </c>
      <c r="M25" s="102">
        <f t="shared" si="2"/>
        <v>0</v>
      </c>
      <c r="N25" s="104" t="str">
        <f t="shared" si="3"/>
        <v>F</v>
      </c>
      <c r="O25" s="104" t="str">
        <f t="shared" si="4"/>
        <v>PLAIN</v>
      </c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21.75" customHeight="1">
      <c r="A26" s="105">
        <v>16.0</v>
      </c>
      <c r="B26" s="101">
        <f>Worksheet!A17</f>
        <v>24101431</v>
      </c>
      <c r="C26" s="101" t="str">
        <f>Worksheet!B17</f>
        <v>Raheeb Al Zabir</v>
      </c>
      <c r="D26" s="103"/>
      <c r="E26" s="103"/>
      <c r="F26" s="103"/>
      <c r="G26" s="103"/>
      <c r="H26" s="103"/>
      <c r="I26" s="103"/>
      <c r="J26" s="103"/>
      <c r="K26" s="103"/>
      <c r="L26" s="103">
        <f t="shared" si="1"/>
        <v>0</v>
      </c>
      <c r="M26" s="102">
        <f t="shared" si="2"/>
        <v>0</v>
      </c>
      <c r="N26" s="104" t="str">
        <f t="shared" si="3"/>
        <v>F</v>
      </c>
      <c r="O26" s="104" t="str">
        <f t="shared" si="4"/>
        <v>PLAIN</v>
      </c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21.75" customHeight="1">
      <c r="A27" s="100">
        <v>17.0</v>
      </c>
      <c r="B27" s="101">
        <f>Worksheet!A18</f>
        <v>24101442</v>
      </c>
      <c r="C27" s="101" t="str">
        <f>Worksheet!B18</f>
        <v>Abdullah Al Noman</v>
      </c>
      <c r="D27" s="103"/>
      <c r="E27" s="103"/>
      <c r="F27" s="103"/>
      <c r="G27" s="103"/>
      <c r="H27" s="103"/>
      <c r="I27" s="103"/>
      <c r="J27" s="103"/>
      <c r="K27" s="103"/>
      <c r="L27" s="103">
        <f t="shared" si="1"/>
        <v>0</v>
      </c>
      <c r="M27" s="102">
        <f t="shared" si="2"/>
        <v>0</v>
      </c>
      <c r="N27" s="104" t="str">
        <f t="shared" si="3"/>
        <v>F</v>
      </c>
      <c r="O27" s="104" t="str">
        <f t="shared" si="4"/>
        <v>PLAIN</v>
      </c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21.75" customHeight="1">
      <c r="A28" s="105">
        <v>18.0</v>
      </c>
      <c r="B28" s="101">
        <f>Worksheet!A19</f>
        <v>24121353</v>
      </c>
      <c r="C28" s="101" t="str">
        <f>Worksheet!B19</f>
        <v>Ayatullah Osama Khan</v>
      </c>
      <c r="D28" s="103"/>
      <c r="E28" s="103"/>
      <c r="F28" s="103"/>
      <c r="G28" s="103"/>
      <c r="H28" s="103"/>
      <c r="I28" s="103"/>
      <c r="J28" s="103"/>
      <c r="K28" s="103"/>
      <c r="L28" s="103">
        <f t="shared" si="1"/>
        <v>0</v>
      </c>
      <c r="M28" s="102">
        <f t="shared" si="2"/>
        <v>0</v>
      </c>
      <c r="N28" s="104" t="str">
        <f t="shared" si="3"/>
        <v>F</v>
      </c>
      <c r="O28" s="104" t="str">
        <f t="shared" si="4"/>
        <v>PLAIN</v>
      </c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21.75" customHeight="1">
      <c r="A29" s="100">
        <v>19.0</v>
      </c>
      <c r="B29" s="101">
        <f>Worksheet!A20</f>
        <v>24141008</v>
      </c>
      <c r="C29" s="101" t="str">
        <f>Worksheet!B20</f>
        <v>Ashvin Al Afroz</v>
      </c>
      <c r="D29" s="103"/>
      <c r="E29" s="103"/>
      <c r="F29" s="103"/>
      <c r="G29" s="103"/>
      <c r="H29" s="103"/>
      <c r="I29" s="103"/>
      <c r="J29" s="103"/>
      <c r="K29" s="103"/>
      <c r="L29" s="103">
        <f t="shared" si="1"/>
        <v>0</v>
      </c>
      <c r="M29" s="102">
        <f t="shared" si="2"/>
        <v>0</v>
      </c>
      <c r="N29" s="104" t="str">
        <f t="shared" si="3"/>
        <v>F</v>
      </c>
      <c r="O29" s="104" t="str">
        <f t="shared" si="4"/>
        <v>PLAIN</v>
      </c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21.75" customHeight="1">
      <c r="A30" s="105">
        <v>20.0</v>
      </c>
      <c r="B30" s="101">
        <f>Worksheet!A21</f>
        <v>24141155</v>
      </c>
      <c r="C30" s="101" t="str">
        <f>Worksheet!B21</f>
        <v>Md. Abrar Mahib Pritom</v>
      </c>
      <c r="D30" s="103"/>
      <c r="E30" s="103"/>
      <c r="F30" s="103"/>
      <c r="G30" s="103"/>
      <c r="H30" s="103"/>
      <c r="I30" s="103"/>
      <c r="J30" s="103"/>
      <c r="K30" s="103"/>
      <c r="L30" s="103">
        <f t="shared" si="1"/>
        <v>0</v>
      </c>
      <c r="M30" s="102">
        <f t="shared" si="2"/>
        <v>0</v>
      </c>
      <c r="N30" s="104" t="str">
        <f t="shared" si="3"/>
        <v>F</v>
      </c>
      <c r="O30" s="104" t="str">
        <f t="shared" si="4"/>
        <v>PLAIN</v>
      </c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21.75" customHeight="1">
      <c r="A31" s="100">
        <v>21.0</v>
      </c>
      <c r="B31" s="101">
        <f>Worksheet!A22</f>
        <v>24201090</v>
      </c>
      <c r="C31" s="101" t="str">
        <f>Worksheet!B22</f>
        <v>Nafis As - Sami</v>
      </c>
      <c r="D31" s="103"/>
      <c r="E31" s="103"/>
      <c r="F31" s="103"/>
      <c r="G31" s="103"/>
      <c r="H31" s="103"/>
      <c r="I31" s="103"/>
      <c r="J31" s="103"/>
      <c r="K31" s="103"/>
      <c r="L31" s="103">
        <f t="shared" si="1"/>
        <v>0</v>
      </c>
      <c r="M31" s="102">
        <f t="shared" si="2"/>
        <v>0</v>
      </c>
      <c r="N31" s="104" t="str">
        <f t="shared" si="3"/>
        <v>F</v>
      </c>
      <c r="O31" s="104" t="str">
        <f t="shared" si="4"/>
        <v>PLAIN</v>
      </c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21.75" customHeight="1">
      <c r="A32" s="105">
        <v>22.0</v>
      </c>
      <c r="B32" s="101">
        <f>Worksheet!A23</f>
        <v>24201165</v>
      </c>
      <c r="C32" s="101" t="str">
        <f>Worksheet!B23</f>
        <v>Jahareen Tasmeem</v>
      </c>
      <c r="D32" s="103"/>
      <c r="E32" s="103"/>
      <c r="F32" s="103"/>
      <c r="G32" s="103"/>
      <c r="H32" s="103"/>
      <c r="I32" s="103"/>
      <c r="J32" s="103"/>
      <c r="K32" s="103"/>
      <c r="L32" s="103">
        <f t="shared" si="1"/>
        <v>0</v>
      </c>
      <c r="M32" s="102">
        <f t="shared" si="2"/>
        <v>0</v>
      </c>
      <c r="N32" s="104" t="str">
        <f t="shared" si="3"/>
        <v>F</v>
      </c>
      <c r="O32" s="104" t="str">
        <f t="shared" si="4"/>
        <v>PLAIN</v>
      </c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21.75" customHeight="1">
      <c r="A33" s="100">
        <v>23.0</v>
      </c>
      <c r="B33" s="101">
        <f>Worksheet!A24</f>
        <v>24201176</v>
      </c>
      <c r="C33" s="101" t="str">
        <f>Worksheet!B24</f>
        <v>Maheer Tajwar</v>
      </c>
      <c r="D33" s="103"/>
      <c r="E33" s="103"/>
      <c r="F33" s="103"/>
      <c r="G33" s="103"/>
      <c r="H33" s="103"/>
      <c r="I33" s="103"/>
      <c r="J33" s="103"/>
      <c r="K33" s="103"/>
      <c r="L33" s="103">
        <f t="shared" si="1"/>
        <v>0</v>
      </c>
      <c r="M33" s="102">
        <f t="shared" si="2"/>
        <v>0</v>
      </c>
      <c r="N33" s="104" t="str">
        <f t="shared" si="3"/>
        <v>F</v>
      </c>
      <c r="O33" s="104" t="str">
        <f t="shared" si="4"/>
        <v>PLAIN</v>
      </c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21.75" customHeight="1">
      <c r="A34" s="105">
        <v>24.0</v>
      </c>
      <c r="B34" s="101">
        <f>Worksheet!A25</f>
        <v>24201193</v>
      </c>
      <c r="C34" s="101" t="str">
        <f>Worksheet!B25</f>
        <v>Md.Fardin Islam</v>
      </c>
      <c r="D34" s="103"/>
      <c r="E34" s="103"/>
      <c r="F34" s="103"/>
      <c r="G34" s="103"/>
      <c r="H34" s="103"/>
      <c r="I34" s="103"/>
      <c r="J34" s="103"/>
      <c r="K34" s="103"/>
      <c r="L34" s="103">
        <f t="shared" si="1"/>
        <v>0</v>
      </c>
      <c r="M34" s="102">
        <f t="shared" si="2"/>
        <v>0</v>
      </c>
      <c r="N34" s="104" t="str">
        <f t="shared" si="3"/>
        <v>F</v>
      </c>
      <c r="O34" s="104" t="str">
        <f t="shared" si="4"/>
        <v>PLAIN</v>
      </c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21.75" customHeight="1">
      <c r="A35" s="100">
        <v>25.0</v>
      </c>
      <c r="B35" s="101">
        <f>Worksheet!A26</f>
        <v>24201199</v>
      </c>
      <c r="C35" s="101" t="str">
        <f>Worksheet!B26</f>
        <v>Faiyaz Rahman</v>
      </c>
      <c r="D35" s="103"/>
      <c r="E35" s="103"/>
      <c r="F35" s="103"/>
      <c r="G35" s="103"/>
      <c r="H35" s="103"/>
      <c r="I35" s="103"/>
      <c r="J35" s="103"/>
      <c r="K35" s="103"/>
      <c r="L35" s="103">
        <f t="shared" si="1"/>
        <v>0</v>
      </c>
      <c r="M35" s="102">
        <f t="shared" si="2"/>
        <v>0</v>
      </c>
      <c r="N35" s="104" t="str">
        <f t="shared" si="3"/>
        <v>F</v>
      </c>
      <c r="O35" s="104" t="str">
        <f t="shared" si="4"/>
        <v>PLAIN</v>
      </c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21.75" customHeight="1">
      <c r="A36" s="105">
        <v>26.0</v>
      </c>
      <c r="B36" s="101">
        <f>Worksheet!A27</f>
        <v>24201453</v>
      </c>
      <c r="C36" s="101" t="str">
        <f>Worksheet!B27</f>
        <v>Md. Zayed Khan</v>
      </c>
      <c r="D36" s="103"/>
      <c r="E36" s="103"/>
      <c r="F36" s="103"/>
      <c r="G36" s="103"/>
      <c r="H36" s="103"/>
      <c r="I36" s="103"/>
      <c r="J36" s="103"/>
      <c r="K36" s="103"/>
      <c r="L36" s="103">
        <f t="shared" si="1"/>
        <v>0</v>
      </c>
      <c r="M36" s="102">
        <f t="shared" si="2"/>
        <v>0</v>
      </c>
      <c r="N36" s="104" t="str">
        <f t="shared" si="3"/>
        <v>F</v>
      </c>
      <c r="O36" s="104" t="str">
        <f t="shared" si="4"/>
        <v>PLAIN</v>
      </c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21.75" customHeight="1">
      <c r="A37" s="100">
        <v>27.0</v>
      </c>
      <c r="B37" s="101">
        <f>Worksheet!A28</f>
        <v>24201455</v>
      </c>
      <c r="C37" s="101" t="str">
        <f>Worksheet!B28</f>
        <v>Hossain Tasnim Rumki</v>
      </c>
      <c r="D37" s="103"/>
      <c r="E37" s="103"/>
      <c r="F37" s="103"/>
      <c r="G37" s="103"/>
      <c r="H37" s="103"/>
      <c r="I37" s="103"/>
      <c r="J37" s="103"/>
      <c r="K37" s="103"/>
      <c r="L37" s="103">
        <f t="shared" si="1"/>
        <v>0</v>
      </c>
      <c r="M37" s="102">
        <f t="shared" si="2"/>
        <v>0</v>
      </c>
      <c r="N37" s="104" t="str">
        <f t="shared" si="3"/>
        <v>F</v>
      </c>
      <c r="O37" s="104" t="str">
        <f t="shared" si="4"/>
        <v>PLAIN</v>
      </c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21.75" customHeight="1">
      <c r="A38" s="105">
        <v>28.0</v>
      </c>
      <c r="B38" s="101">
        <f>Worksheet!A29</f>
        <v>24204199</v>
      </c>
      <c r="C38" s="101" t="str">
        <f>Worksheet!B29</f>
        <v>Abdul Mumit Bin Jafor</v>
      </c>
      <c r="D38" s="103"/>
      <c r="E38" s="103"/>
      <c r="F38" s="103"/>
      <c r="G38" s="103"/>
      <c r="H38" s="103"/>
      <c r="I38" s="103"/>
      <c r="J38" s="103"/>
      <c r="K38" s="103"/>
      <c r="L38" s="103">
        <f t="shared" si="1"/>
        <v>0</v>
      </c>
      <c r="M38" s="102">
        <f t="shared" si="2"/>
        <v>0</v>
      </c>
      <c r="N38" s="104" t="str">
        <f t="shared" si="3"/>
        <v>F</v>
      </c>
      <c r="O38" s="104" t="str">
        <f t="shared" si="4"/>
        <v>PLAIN</v>
      </c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21.75" customHeight="1">
      <c r="A39" s="100">
        <v>29.0</v>
      </c>
      <c r="B39" s="101">
        <f>Worksheet!A30</f>
        <v>24301002</v>
      </c>
      <c r="C39" s="101" t="str">
        <f>Worksheet!B30</f>
        <v>Wamiza Mehjabin</v>
      </c>
      <c r="D39" s="103"/>
      <c r="E39" s="103"/>
      <c r="F39" s="103"/>
      <c r="G39" s="103"/>
      <c r="H39" s="103"/>
      <c r="I39" s="103"/>
      <c r="J39" s="103"/>
      <c r="K39" s="103"/>
      <c r="L39" s="103">
        <f t="shared" si="1"/>
        <v>0</v>
      </c>
      <c r="M39" s="102">
        <f t="shared" si="2"/>
        <v>0</v>
      </c>
      <c r="N39" s="104" t="str">
        <f t="shared" si="3"/>
        <v>F</v>
      </c>
      <c r="O39" s="104" t="str">
        <f t="shared" si="4"/>
        <v>PLAIN</v>
      </c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21.75" customHeight="1">
      <c r="A40" s="105">
        <v>30.0</v>
      </c>
      <c r="B40" s="101">
        <f>Worksheet!A31</f>
        <v>24301003</v>
      </c>
      <c r="C40" s="101" t="str">
        <f>Worksheet!B31</f>
        <v>Shahir Sharaf Chowdhury</v>
      </c>
      <c r="D40" s="103"/>
      <c r="E40" s="103"/>
      <c r="F40" s="103"/>
      <c r="G40" s="103"/>
      <c r="H40" s="103"/>
      <c r="I40" s="103"/>
      <c r="J40" s="103"/>
      <c r="K40" s="103"/>
      <c r="L40" s="103">
        <f t="shared" si="1"/>
        <v>0</v>
      </c>
      <c r="M40" s="102">
        <f t="shared" si="2"/>
        <v>0</v>
      </c>
      <c r="N40" s="104" t="str">
        <f t="shared" si="3"/>
        <v>F</v>
      </c>
      <c r="O40" s="104" t="str">
        <f t="shared" si="4"/>
        <v>PLAIN</v>
      </c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21.75" customHeight="1">
      <c r="A41" s="100">
        <v>31.0</v>
      </c>
      <c r="B41" s="101">
        <f>Worksheet!A32</f>
        <v>24301116</v>
      </c>
      <c r="C41" s="101" t="str">
        <f>Worksheet!B32</f>
        <v>Mahajabin Islam</v>
      </c>
      <c r="D41" s="103"/>
      <c r="E41" s="103"/>
      <c r="F41" s="103"/>
      <c r="G41" s="103"/>
      <c r="H41" s="103"/>
      <c r="I41" s="103"/>
      <c r="J41" s="103"/>
      <c r="K41" s="103"/>
      <c r="L41" s="103">
        <f t="shared" si="1"/>
        <v>0</v>
      </c>
      <c r="M41" s="102">
        <f t="shared" si="2"/>
        <v>0</v>
      </c>
      <c r="N41" s="104" t="str">
        <f t="shared" si="3"/>
        <v>F</v>
      </c>
      <c r="O41" s="104" t="str">
        <f t="shared" si="4"/>
        <v>PLAIN</v>
      </c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21.75" customHeight="1">
      <c r="A42" s="105">
        <v>32.0</v>
      </c>
      <c r="B42" s="101">
        <f>Worksheet!A33</f>
        <v>24301173</v>
      </c>
      <c r="C42" s="101" t="str">
        <f>Worksheet!B33</f>
        <v>Shahida Rahman</v>
      </c>
      <c r="D42" s="106"/>
      <c r="E42" s="106"/>
      <c r="F42" s="106"/>
      <c r="G42" s="106"/>
      <c r="H42" s="106"/>
      <c r="I42" s="106"/>
      <c r="J42" s="106"/>
      <c r="K42" s="106"/>
      <c r="L42" s="106">
        <f t="shared" si="1"/>
        <v>0</v>
      </c>
      <c r="M42" s="107">
        <f t="shared" si="2"/>
        <v>0</v>
      </c>
      <c r="N42" s="108" t="str">
        <f t="shared" si="3"/>
        <v>F</v>
      </c>
      <c r="O42" s="108" t="str">
        <f t="shared" si="4"/>
        <v>PLAIN</v>
      </c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21.75" customHeight="1">
      <c r="A43" s="100">
        <v>33.0</v>
      </c>
      <c r="B43" s="101">
        <f>Worksheet!A34</f>
        <v>24301197</v>
      </c>
      <c r="C43" s="101" t="str">
        <f>Worksheet!B34</f>
        <v>Samin Yasar Nafi</v>
      </c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10"/>
      <c r="O43" s="110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21.75" customHeight="1">
      <c r="A44" s="105">
        <v>34.0</v>
      </c>
      <c r="B44" s="101">
        <f>Worksheet!A35</f>
        <v>24301282</v>
      </c>
      <c r="C44" s="101" t="str">
        <f>Worksheet!B35</f>
        <v>Samin Nuzaima</v>
      </c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2"/>
      <c r="O44" s="11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21.75" customHeight="1">
      <c r="A45" s="100">
        <v>35.0</v>
      </c>
      <c r="B45" s="113">
        <f>Worksheet!A36</f>
        <v>24321232</v>
      </c>
      <c r="C45" s="113" t="str">
        <f>Worksheet!B36</f>
        <v>Kazi Yasin Hridoy</v>
      </c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2"/>
      <c r="O45" s="11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21.75" customHeight="1">
      <c r="A46" s="100">
        <v>36.0</v>
      </c>
      <c r="B46" s="114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2"/>
      <c r="O46" s="11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21.75" customHeight="1">
      <c r="A47" s="111"/>
      <c r="B47" s="114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2"/>
      <c r="O47" s="11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21.75" customHeight="1">
      <c r="A48" s="111"/>
      <c r="B48" s="114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2"/>
      <c r="O48" s="11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21.75" customHeight="1">
      <c r="A49" s="111"/>
      <c r="B49" s="114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2"/>
      <c r="O49" s="11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21.75" customHeight="1">
      <c r="A50" s="111"/>
      <c r="B50" s="114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2"/>
      <c r="O50" s="11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21.75" customHeight="1">
      <c r="A51" s="111"/>
      <c r="B51" s="114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2"/>
      <c r="O51" s="11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21.75" customHeight="1">
      <c r="A52" s="111"/>
      <c r="B52" s="114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2"/>
      <c r="O52" s="11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21.75" customHeight="1">
      <c r="A53" s="111"/>
      <c r="B53" s="114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2"/>
      <c r="O53" s="11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21.75" customHeight="1">
      <c r="A54" s="111"/>
      <c r="B54" s="114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2"/>
      <c r="O54" s="11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21.75" customHeight="1">
      <c r="A55" s="111"/>
      <c r="B55" s="114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2"/>
      <c r="O55" s="11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21.75" customHeight="1">
      <c r="A56" s="111"/>
      <c r="B56" s="114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2"/>
      <c r="O56" s="11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21.75" customHeight="1">
      <c r="A57" s="111"/>
      <c r="B57" s="114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2"/>
      <c r="O57" s="11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21.75" customHeight="1">
      <c r="A58" s="111"/>
      <c r="B58" s="114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2"/>
      <c r="O58" s="11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21.75" customHeight="1">
      <c r="A59" s="111"/>
      <c r="B59" s="114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2"/>
      <c r="O59" s="11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21.75" customHeight="1">
      <c r="A60" s="111"/>
      <c r="B60" s="114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2"/>
      <c r="O60" s="11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21.75" customHeight="1">
      <c r="A61" s="111"/>
      <c r="B61" s="114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2"/>
      <c r="O61" s="11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21.75" customHeight="1">
      <c r="A62" s="111"/>
      <c r="B62" s="114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2"/>
      <c r="O62" s="11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21.75" customHeight="1">
      <c r="A63" s="111"/>
      <c r="B63" s="114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2"/>
      <c r="O63" s="11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21.75" customHeight="1">
      <c r="A64" s="111"/>
      <c r="B64" s="114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2"/>
      <c r="O64" s="11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21.75" customHeight="1">
      <c r="A65" s="111"/>
      <c r="B65" s="114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2"/>
      <c r="O65" s="11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21.75" customHeight="1">
      <c r="A66" s="111"/>
      <c r="B66" s="114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2"/>
      <c r="O66" s="11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21.75" customHeight="1">
      <c r="A67" s="111"/>
      <c r="B67" s="115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2"/>
      <c r="O67" s="11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21.75" customHeight="1">
      <c r="A68" s="111"/>
      <c r="B68" s="115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2"/>
      <c r="O68" s="11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21.75" customHeight="1">
      <c r="A69" s="111"/>
      <c r="B69" s="114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2"/>
      <c r="O69" s="11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21.75" customHeight="1">
      <c r="A70" s="111"/>
      <c r="B70" s="116"/>
      <c r="C70" s="117"/>
      <c r="D70" s="117"/>
      <c r="E70" s="117"/>
      <c r="F70" s="117"/>
      <c r="G70" s="117"/>
      <c r="H70" s="117"/>
      <c r="I70" s="117"/>
      <c r="J70" s="117"/>
      <c r="K70" s="117"/>
      <c r="L70" s="111"/>
      <c r="M70" s="111"/>
      <c r="N70" s="112"/>
      <c r="O70" s="11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24.0" customHeight="1">
      <c r="A71" s="92"/>
      <c r="B71" s="116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24.0" customHeight="1">
      <c r="A72" s="92"/>
      <c r="B72" s="116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12.75" customHeight="1">
      <c r="A73" s="92"/>
      <c r="B73" s="116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12.75" customHeight="1">
      <c r="A74" s="92"/>
      <c r="B74" s="116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12.75" customHeight="1">
      <c r="A75" s="92"/>
      <c r="B75" s="116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12.75" customHeight="1">
      <c r="A76" s="92"/>
      <c r="B76" s="116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12.75" customHeight="1">
      <c r="A77" s="92"/>
      <c r="B77" s="116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12.75" customHeight="1">
      <c r="A78" s="92"/>
      <c r="B78" s="116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12.75" customHeight="1">
      <c r="A79" s="92"/>
      <c r="B79" s="116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12.75" customHeight="1">
      <c r="A80" s="92"/>
      <c r="B80" s="116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12.75" customHeight="1">
      <c r="A81" s="92"/>
      <c r="B81" s="116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12.75" customHeight="1">
      <c r="A82" s="92"/>
      <c r="B82" s="116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12.75" customHeight="1">
      <c r="A83" s="92"/>
      <c r="B83" s="116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12.75" customHeight="1">
      <c r="A84" s="92"/>
      <c r="B84" s="116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12.75" customHeight="1">
      <c r="A85" s="92"/>
      <c r="B85" s="116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12.75" customHeight="1">
      <c r="A86" s="92"/>
      <c r="B86" s="116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12.75" customHeight="1">
      <c r="A87" s="92"/>
      <c r="B87" s="116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12.75" customHeight="1">
      <c r="A88" s="92"/>
      <c r="B88" s="116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12.75" customHeight="1">
      <c r="A89" s="92"/>
      <c r="B89" s="116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12.75" customHeight="1">
      <c r="A90" s="92"/>
      <c r="B90" s="116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12.75" customHeight="1">
      <c r="A91" s="92"/>
      <c r="B91" s="116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12.75" customHeight="1">
      <c r="A92" s="92"/>
      <c r="B92" s="116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12.75" customHeight="1">
      <c r="A93" s="92"/>
      <c r="B93" s="116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12.75" customHeight="1">
      <c r="A94" s="92"/>
      <c r="B94" s="116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12.75" customHeight="1">
      <c r="A95" s="92"/>
      <c r="B95" s="116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12.75" customHeight="1">
      <c r="A96" s="92"/>
      <c r="B96" s="116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12.75" customHeight="1">
      <c r="A97" s="92"/>
      <c r="B97" s="116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12.75" customHeight="1">
      <c r="A98" s="92"/>
      <c r="B98" s="116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12.75" customHeight="1">
      <c r="A99" s="92"/>
      <c r="B99" s="116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12.75" customHeight="1">
      <c r="A100" s="92"/>
      <c r="B100" s="116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12.75" customHeight="1">
      <c r="A101" s="92"/>
      <c r="B101" s="116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12.75" customHeight="1">
      <c r="A102" s="92"/>
      <c r="B102" s="116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12.75" customHeight="1">
      <c r="A103" s="92"/>
      <c r="B103" s="116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12.75" customHeight="1">
      <c r="A104" s="92"/>
      <c r="B104" s="116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12.75" customHeight="1">
      <c r="A105" s="92"/>
      <c r="B105" s="116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12.75" customHeight="1">
      <c r="A106" s="92"/>
      <c r="B106" s="116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12.75" customHeight="1">
      <c r="A107" s="92"/>
      <c r="B107" s="116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12.75" customHeight="1">
      <c r="A108" s="92"/>
      <c r="B108" s="116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12.75" customHeight="1">
      <c r="A109" s="92"/>
      <c r="B109" s="116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12.75" customHeight="1">
      <c r="A110" s="92"/>
      <c r="B110" s="116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12.75" customHeight="1">
      <c r="A111" s="92"/>
      <c r="B111" s="116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12.75" customHeight="1">
      <c r="A112" s="92"/>
      <c r="B112" s="116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12.75" customHeight="1">
      <c r="A113" s="92"/>
      <c r="B113" s="116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12.75" customHeight="1">
      <c r="A114" s="92"/>
      <c r="B114" s="116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12.75" customHeight="1">
      <c r="A115" s="92"/>
      <c r="B115" s="116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12.75" customHeight="1">
      <c r="A116" s="92"/>
      <c r="B116" s="116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12.75" customHeight="1">
      <c r="A117" s="92"/>
      <c r="B117" s="116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12.75" customHeight="1">
      <c r="A118" s="92"/>
      <c r="B118" s="116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12.75" customHeight="1">
      <c r="A119" s="92"/>
      <c r="B119" s="116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12.75" customHeight="1">
      <c r="A120" s="92"/>
      <c r="B120" s="116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12.75" customHeight="1">
      <c r="A121" s="92"/>
      <c r="B121" s="116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12.75" customHeight="1">
      <c r="A122" s="92"/>
      <c r="B122" s="116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12.75" customHeight="1">
      <c r="A123" s="92"/>
      <c r="B123" s="116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12.75" customHeight="1">
      <c r="A124" s="92"/>
      <c r="B124" s="116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12.75" customHeight="1">
      <c r="A125" s="92"/>
      <c r="B125" s="116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12.75" customHeight="1">
      <c r="A126" s="92"/>
      <c r="B126" s="116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12.75" customHeight="1">
      <c r="A127" s="92"/>
      <c r="B127" s="116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12.75" customHeight="1">
      <c r="A128" s="92"/>
      <c r="B128" s="116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12.75" customHeight="1">
      <c r="A129" s="92"/>
      <c r="B129" s="116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12.75" customHeight="1">
      <c r="A130" s="92"/>
      <c r="B130" s="116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12.75" customHeight="1">
      <c r="A131" s="92"/>
      <c r="B131" s="116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12.75" customHeight="1">
      <c r="A132" s="92"/>
      <c r="B132" s="116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12.75" customHeight="1">
      <c r="A133" s="92"/>
      <c r="B133" s="116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12.75" customHeight="1">
      <c r="A134" s="92"/>
      <c r="B134" s="116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12.75" customHeight="1">
      <c r="A135" s="92"/>
      <c r="B135" s="116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12.75" customHeight="1">
      <c r="A136" s="92"/>
      <c r="B136" s="116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12.75" customHeight="1">
      <c r="A137" s="92"/>
      <c r="B137" s="116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12.75" customHeight="1">
      <c r="A138" s="92"/>
      <c r="B138" s="116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12.75" customHeight="1">
      <c r="A139" s="92"/>
      <c r="B139" s="116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12.75" customHeight="1">
      <c r="A140" s="92"/>
      <c r="B140" s="116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12.75" customHeight="1">
      <c r="A141" s="92"/>
      <c r="B141" s="116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12.75" customHeight="1">
      <c r="A142" s="92"/>
      <c r="B142" s="116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12.75" customHeight="1">
      <c r="A143" s="92"/>
      <c r="B143" s="116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12.75" customHeight="1">
      <c r="A144" s="92"/>
      <c r="B144" s="116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12.75" customHeight="1">
      <c r="A145" s="92"/>
      <c r="B145" s="116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12.75" customHeight="1">
      <c r="A146" s="92"/>
      <c r="B146" s="116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12.75" customHeight="1">
      <c r="A147" s="92"/>
      <c r="B147" s="116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12.75" customHeight="1">
      <c r="A148" s="92"/>
      <c r="B148" s="116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12.75" customHeight="1">
      <c r="A149" s="92"/>
      <c r="B149" s="116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12.75" customHeight="1">
      <c r="A150" s="92"/>
      <c r="B150" s="116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12.75" customHeight="1">
      <c r="A151" s="92"/>
      <c r="B151" s="116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12.75" customHeight="1">
      <c r="A152" s="92"/>
      <c r="B152" s="116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12.75" customHeight="1">
      <c r="A153" s="92"/>
      <c r="B153" s="116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12.75" customHeight="1">
      <c r="A154" s="92"/>
      <c r="B154" s="116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12.75" customHeight="1">
      <c r="A155" s="92"/>
      <c r="B155" s="116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12.75" customHeight="1">
      <c r="A156" s="92"/>
      <c r="B156" s="116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12.75" customHeight="1">
      <c r="A157" s="92"/>
      <c r="B157" s="116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12.75" customHeight="1">
      <c r="A158" s="92"/>
      <c r="B158" s="116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12.75" customHeight="1">
      <c r="A159" s="92"/>
      <c r="B159" s="116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12.75" customHeight="1">
      <c r="A160" s="92"/>
      <c r="B160" s="116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12.75" customHeight="1">
      <c r="A161" s="92"/>
      <c r="B161" s="116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12.75" customHeight="1">
      <c r="A162" s="92"/>
      <c r="B162" s="116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12.75" customHeight="1">
      <c r="A163" s="92"/>
      <c r="B163" s="116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12.75" customHeight="1">
      <c r="A164" s="92"/>
      <c r="B164" s="116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12.75" customHeight="1">
      <c r="A165" s="92"/>
      <c r="B165" s="116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12.75" customHeight="1">
      <c r="A166" s="92"/>
      <c r="B166" s="116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12.75" customHeight="1">
      <c r="A167" s="92"/>
      <c r="B167" s="116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12.75" customHeight="1">
      <c r="A168" s="92"/>
      <c r="B168" s="116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12.75" customHeight="1">
      <c r="A169" s="92"/>
      <c r="B169" s="116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12.75" customHeight="1">
      <c r="A170" s="92"/>
      <c r="B170" s="116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12.75" customHeight="1">
      <c r="A171" s="92"/>
      <c r="B171" s="116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12.75" customHeight="1">
      <c r="A172" s="92"/>
      <c r="B172" s="116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12.75" customHeight="1">
      <c r="A173" s="92"/>
      <c r="B173" s="116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12.75" customHeight="1">
      <c r="A174" s="92"/>
      <c r="B174" s="116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12.75" customHeight="1">
      <c r="A175" s="92"/>
      <c r="B175" s="116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12.75" customHeight="1">
      <c r="A176" s="92"/>
      <c r="B176" s="116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12.75" customHeight="1">
      <c r="A177" s="92"/>
      <c r="B177" s="116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12.75" customHeight="1">
      <c r="A178" s="92"/>
      <c r="B178" s="116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12.75" customHeight="1">
      <c r="A179" s="92"/>
      <c r="B179" s="116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12.75" customHeight="1">
      <c r="A180" s="92"/>
      <c r="B180" s="116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12.75" customHeight="1">
      <c r="A181" s="92"/>
      <c r="B181" s="116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12.75" customHeight="1">
      <c r="A182" s="92"/>
      <c r="B182" s="116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12.75" customHeight="1">
      <c r="A183" s="92"/>
      <c r="B183" s="116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12.75" customHeight="1">
      <c r="A184" s="92"/>
      <c r="B184" s="116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12.75" customHeight="1">
      <c r="A185" s="92"/>
      <c r="B185" s="116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12.75" customHeight="1">
      <c r="A186" s="92"/>
      <c r="B186" s="116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12.75" customHeight="1">
      <c r="A187" s="92"/>
      <c r="B187" s="116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12.75" customHeight="1">
      <c r="A188" s="92"/>
      <c r="B188" s="116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12.75" customHeight="1">
      <c r="A189" s="92"/>
      <c r="B189" s="116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12.75" customHeight="1">
      <c r="A190" s="92"/>
      <c r="B190" s="116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12.75" customHeight="1">
      <c r="A191" s="92"/>
      <c r="B191" s="116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12.75" customHeight="1">
      <c r="A192" s="92"/>
      <c r="B192" s="116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12.75" customHeight="1">
      <c r="A193" s="92"/>
      <c r="B193" s="116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12.75" customHeight="1">
      <c r="A194" s="92"/>
      <c r="B194" s="116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12.75" customHeight="1">
      <c r="A195" s="92"/>
      <c r="B195" s="116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12.75" customHeight="1">
      <c r="A196" s="92"/>
      <c r="B196" s="116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12.75" customHeight="1">
      <c r="A197" s="92"/>
      <c r="B197" s="116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12.75" customHeight="1">
      <c r="A198" s="92"/>
      <c r="B198" s="116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12.75" customHeight="1">
      <c r="A199" s="92"/>
      <c r="B199" s="116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12.75" customHeight="1">
      <c r="A200" s="92"/>
      <c r="B200" s="116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12.75" customHeight="1">
      <c r="A201" s="92"/>
      <c r="B201" s="116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12.75" customHeight="1">
      <c r="A202" s="92"/>
      <c r="B202" s="116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12.75" customHeight="1">
      <c r="A203" s="92"/>
      <c r="B203" s="116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12.75" customHeight="1">
      <c r="A204" s="92"/>
      <c r="B204" s="116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12.75" customHeight="1">
      <c r="A205" s="92"/>
      <c r="B205" s="116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12.75" customHeight="1">
      <c r="A206" s="92"/>
      <c r="B206" s="116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12.75" customHeight="1">
      <c r="A207" s="92"/>
      <c r="B207" s="116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12.75" customHeight="1">
      <c r="A208" s="92"/>
      <c r="B208" s="116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12.75" customHeight="1">
      <c r="A209" s="92"/>
      <c r="B209" s="116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12.75" customHeight="1">
      <c r="A210" s="92"/>
      <c r="B210" s="116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12.75" customHeight="1">
      <c r="A211" s="92"/>
      <c r="B211" s="116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12.75" customHeight="1">
      <c r="A212" s="92"/>
      <c r="B212" s="116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12.75" customHeight="1">
      <c r="A213" s="92"/>
      <c r="B213" s="116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12.75" customHeight="1">
      <c r="A214" s="92"/>
      <c r="B214" s="116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12.75" customHeight="1">
      <c r="A215" s="92"/>
      <c r="B215" s="116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12.75" customHeight="1">
      <c r="A216" s="92"/>
      <c r="B216" s="116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12.75" customHeight="1">
      <c r="A217" s="92"/>
      <c r="B217" s="116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12.75" customHeight="1">
      <c r="A218" s="92"/>
      <c r="B218" s="116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12.75" customHeight="1">
      <c r="A219" s="92"/>
      <c r="B219" s="116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12.75" customHeight="1">
      <c r="A220" s="92"/>
      <c r="B220" s="116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12.75" customHeight="1">
      <c r="A221" s="92"/>
      <c r="B221" s="116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12.75" customHeight="1">
      <c r="A222" s="92"/>
      <c r="B222" s="116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12.75" customHeight="1">
      <c r="A223" s="92"/>
      <c r="B223" s="116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12.75" customHeight="1">
      <c r="A224" s="92"/>
      <c r="B224" s="116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2.75" customHeight="1">
      <c r="A225" s="92"/>
      <c r="B225" s="116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ht="12.75" customHeight="1">
      <c r="A226" s="92"/>
      <c r="B226" s="116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ht="12.75" customHeight="1">
      <c r="A227" s="92"/>
      <c r="B227" s="116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ht="12.75" customHeight="1">
      <c r="A228" s="92"/>
      <c r="B228" s="116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ht="12.75" customHeight="1">
      <c r="A229" s="92"/>
      <c r="B229" s="116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ht="12.75" customHeight="1">
      <c r="A230" s="92"/>
      <c r="B230" s="116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ht="12.75" customHeight="1">
      <c r="A231" s="92"/>
      <c r="B231" s="116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ht="12.75" customHeight="1">
      <c r="A232" s="92"/>
      <c r="B232" s="116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ht="12.75" customHeight="1">
      <c r="A233" s="92"/>
      <c r="B233" s="116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ht="12.75" customHeight="1">
      <c r="A234" s="92"/>
      <c r="B234" s="116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ht="12.75" customHeight="1">
      <c r="A235" s="92"/>
      <c r="B235" s="116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ht="12.75" customHeight="1">
      <c r="A236" s="92"/>
      <c r="B236" s="116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ht="12.75" customHeight="1">
      <c r="A237" s="92"/>
      <c r="B237" s="116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ht="12.75" customHeight="1">
      <c r="A238" s="92"/>
      <c r="B238" s="116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 ht="12.75" customHeight="1">
      <c r="A239" s="92"/>
      <c r="B239" s="116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 ht="12.75" customHeight="1">
      <c r="A240" s="92"/>
      <c r="B240" s="116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ht="12.75" customHeight="1">
      <c r="A241" s="92"/>
      <c r="B241" s="116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ht="12.75" customHeight="1">
      <c r="A242" s="92"/>
      <c r="B242" s="116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ht="12.75" customHeight="1">
      <c r="A243" s="92"/>
      <c r="B243" s="116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ht="12.75" customHeight="1">
      <c r="A244" s="92"/>
      <c r="B244" s="116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ht="12.75" customHeight="1">
      <c r="A245" s="92"/>
      <c r="B245" s="116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ht="12.75" customHeight="1">
      <c r="A246" s="92"/>
      <c r="B246" s="116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ht="12.75" customHeight="1">
      <c r="A247" s="92"/>
      <c r="B247" s="116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ht="12.75" customHeight="1">
      <c r="A248" s="92"/>
      <c r="B248" s="116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ht="12.75" customHeight="1">
      <c r="A249" s="92"/>
      <c r="B249" s="116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ht="12.75" customHeight="1">
      <c r="A250" s="92"/>
      <c r="B250" s="116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ht="12.75" customHeight="1">
      <c r="A251" s="92"/>
      <c r="B251" s="116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ht="12.75" customHeight="1">
      <c r="A252" s="92"/>
      <c r="B252" s="116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 ht="12.75" customHeight="1">
      <c r="A253" s="92"/>
      <c r="B253" s="116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 ht="12.75" customHeight="1">
      <c r="A254" s="92"/>
      <c r="B254" s="116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 ht="12.75" customHeight="1">
      <c r="A255" s="92"/>
      <c r="B255" s="116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ht="12.75" customHeight="1">
      <c r="A256" s="92"/>
      <c r="B256" s="116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ht="12.75" customHeight="1">
      <c r="A257" s="92"/>
      <c r="B257" s="116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ht="12.75" customHeight="1">
      <c r="A258" s="92"/>
      <c r="B258" s="116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 ht="12.75" customHeight="1">
      <c r="A259" s="92"/>
      <c r="B259" s="116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ht="12.75" customHeight="1">
      <c r="A260" s="92"/>
      <c r="B260" s="116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ht="12.75" customHeight="1">
      <c r="A261" s="92"/>
      <c r="B261" s="116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ht="12.75" customHeight="1">
      <c r="A262" s="92"/>
      <c r="B262" s="116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ht="12.75" customHeight="1">
      <c r="A263" s="92"/>
      <c r="B263" s="116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ht="12.75" customHeight="1">
      <c r="A264" s="92"/>
      <c r="B264" s="116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 ht="12.75" customHeight="1">
      <c r="A265" s="92"/>
      <c r="B265" s="116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ht="12.75" customHeight="1">
      <c r="A266" s="92"/>
      <c r="B266" s="116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ht="12.75" customHeight="1">
      <c r="A267" s="92"/>
      <c r="B267" s="116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ht="12.75" customHeight="1">
      <c r="A268" s="92"/>
      <c r="B268" s="116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ht="12.75" customHeight="1">
      <c r="A269" s="92"/>
      <c r="B269" s="116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ht="12.75" customHeight="1">
      <c r="A270" s="92"/>
      <c r="B270" s="116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</sheetData>
  <printOptions/>
  <pageMargins bottom="0.75" footer="0.0" header="0.0" left="0.7" right="0.7" top="0.75"/>
  <pageSetup fitToHeight="0" paperSize="9" orientation="landscape"/>
  <headerFooter>
    <oddFooter>&amp;LSIGNATURE OF EXAMINER &amp;&amp; DATE&amp;CNAME OF EXAMINER         Page-&amp;P&amp;RSIGNATURE OF CHAIRPERSON</oddFooter>
  </headerFooter>
  <drawing r:id="rId1"/>
</worksheet>
</file>