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5"/>
    <sheet state="visible" name="Grade Sheet" sheetId="2" r:id="rId6"/>
    <sheet state="visible" name="All Marks" sheetId="3" r:id="rId7"/>
    <sheet state="visible" name="Mid+Final" sheetId="4" r:id="rId8"/>
    <sheet state="visible" name="Quiz" sheetId="5" r:id="rId9"/>
    <sheet state="visible" name="Assignment" sheetId="6" r:id="rId10"/>
    <sheet state="visible" name="Lab" sheetId="7" r:id="rId11"/>
    <sheet state="hidden" name="Final GradeSheet" sheetId="8" r:id="rId12"/>
  </sheets>
  <definedNames/>
  <calcPr/>
</workbook>
</file>

<file path=xl/sharedStrings.xml><?xml version="1.0" encoding="utf-8"?>
<sst xmlns="http://schemas.openxmlformats.org/spreadsheetml/2006/main" count="267" uniqueCount="144">
  <si>
    <t>Student Id</t>
  </si>
  <si>
    <t>Name</t>
  </si>
  <si>
    <t>Asif Mahmud</t>
  </si>
  <si>
    <t>CSE</t>
  </si>
  <si>
    <t>Maliha Anan Promi</t>
  </si>
  <si>
    <t>Female</t>
  </si>
  <si>
    <t>maliha.anan.promi@g.bracu.ac.bd</t>
  </si>
  <si>
    <t>Parthib Biswas</t>
  </si>
  <si>
    <t>Male</t>
  </si>
  <si>
    <t>parthib.biswas@g.bracu.ac.bd</t>
  </si>
  <si>
    <t>Sadnan Basher</t>
  </si>
  <si>
    <t>sadnan.basher@g.bracu.ac.bd</t>
  </si>
  <si>
    <t>Tamal Kumar Dey</t>
  </si>
  <si>
    <t>tamal.kumar.dey@g.bracu.ac.bd</t>
  </si>
  <si>
    <t>Rufaida Zoon Raiyan</t>
  </si>
  <si>
    <t>CS</t>
  </si>
  <si>
    <t>rufaida.zoon.raiyan@g.bracu.ac.bd</t>
  </si>
  <si>
    <t>Shihabul Ishraq Tanim</t>
  </si>
  <si>
    <t>shihabul.ishraq.tanim@g.bracu.ac.bd</t>
  </si>
  <si>
    <t>Nandini Das Jhumu</t>
  </si>
  <si>
    <t>nandini.das.jhumu@g.bracu.ac.bd</t>
  </si>
  <si>
    <t>Ridwanul Azim</t>
  </si>
  <si>
    <t>ridwanul.azim@g.bracu.ac.bd</t>
  </si>
  <si>
    <t>Saddat Hossain Sifat</t>
  </si>
  <si>
    <t>saddat.hossain.sifat@g.bracu.ac.bd</t>
  </si>
  <si>
    <t>Md Abu Noman Kabbo</t>
  </si>
  <si>
    <t>abu.noman.kabbo@g.bracu.ac.bd</t>
  </si>
  <si>
    <t>Adil Abdullah Mahdi</t>
  </si>
  <si>
    <t>adil.abdullah.mahdi@g.bracu.ac.bd</t>
  </si>
  <si>
    <t>Zunayed Amin</t>
  </si>
  <si>
    <t>zunayed.amin@g.bracu.ac.bd</t>
  </si>
  <si>
    <t>Sm Mostofa Morshed Sayeem</t>
  </si>
  <si>
    <t>ECE</t>
  </si>
  <si>
    <t>mostofa.morshed.sayeem@g.bracu.ac.bd</t>
  </si>
  <si>
    <t>Mehrab Rashid Mugdha</t>
  </si>
  <si>
    <t>mehrab.rashid.mugdha@g.bracu.ac.bd</t>
  </si>
  <si>
    <t>Md Muhtasim Chowdhury</t>
  </si>
  <si>
    <t>md.muhtasim.chowdhury@g.bracu.ac.bd</t>
  </si>
  <si>
    <t>Tahseen Zaman</t>
  </si>
  <si>
    <t>tahseen.zaman@g.bracu.ac.bd</t>
  </si>
  <si>
    <t>Lamia Iqbal</t>
  </si>
  <si>
    <t>lamia.iqbal@g.bracu.ac.bd</t>
  </si>
  <si>
    <t>Rafid Bin Nasir</t>
  </si>
  <si>
    <t>rafid.bin.nasir@g.bracu.ac.bd</t>
  </si>
  <si>
    <t>Md Mahi Hyder</t>
  </si>
  <si>
    <t>md.mahi.hyder@g.bracu.ac.bd</t>
  </si>
  <si>
    <t>Md. Abrar Faiyaz</t>
  </si>
  <si>
    <t>md.abrar.faiyaz@g.bracu.ac.bd</t>
  </si>
  <si>
    <t>Mashfiqur Rahman Khan</t>
  </si>
  <si>
    <t>mashfiqur.rahman.khan@g.bracu.ac.bd</t>
  </si>
  <si>
    <t>Dibyo Singho Barua Subrajit</t>
  </si>
  <si>
    <t>dibyosingho.barua.subrajit@g.bracu.ac.bd</t>
  </si>
  <si>
    <t>Md Fahmudur Rahman Fahim</t>
  </si>
  <si>
    <t>fahmudur.rahman.fahim@g.bracu.ac.bd</t>
  </si>
  <si>
    <t>Md Rafi Hasan</t>
  </si>
  <si>
    <t>md.rafi.hasan@g.bracu.ac.bd</t>
  </si>
  <si>
    <t>Nazif Ahmed Khan</t>
  </si>
  <si>
    <t>nazif.ahmed.khan@g.bracu.ac.bd</t>
  </si>
  <si>
    <t>Multazim Nazifa</t>
  </si>
  <si>
    <t>multazim.nazifa@g.bracu.ac.bd</t>
  </si>
  <si>
    <t>Wazed Alam Wafi</t>
  </si>
  <si>
    <t>wazed.alam.wafi@g.bracu.ac.bd</t>
  </si>
  <si>
    <t>Mohammad Riham Alam</t>
  </si>
  <si>
    <t>mohammad.riham.alam@g.bracu.ac.bd</t>
  </si>
  <si>
    <t>Aronno Bless Rebeiro</t>
  </si>
  <si>
    <t>aronno.bless.rebeiro@g.bracu.ac.bd</t>
  </si>
  <si>
    <t>Sampurna Dey</t>
  </si>
  <si>
    <t>sampurna.dey@g.bracu.ac.bd</t>
  </si>
  <si>
    <t>Md. Iftekhar Haque Iftee</t>
  </si>
  <si>
    <t>iftekhar.haque.iftee@g.bracu.ac.bd</t>
  </si>
  <si>
    <t>Zarifah Morshed Nuren</t>
  </si>
  <si>
    <t>zarifah.morshed.nuren@g.bracu.ac.bd</t>
  </si>
  <si>
    <t>Monira Mehjabeen Eva</t>
  </si>
  <si>
    <t>monira.mehjabeen.eva@g.bracu.ac.bd</t>
  </si>
  <si>
    <t>Manjurul Ahsan Hemel</t>
  </si>
  <si>
    <t>manjurul.ahsan.hemel@g.bracu.ac.bd</t>
  </si>
  <si>
    <t>Saadat Khan</t>
  </si>
  <si>
    <t>saadat.khan@g.bracu.ac.bd</t>
  </si>
  <si>
    <t>Mir Mainul Ahmed</t>
  </si>
  <si>
    <t>mir.mainul.ahmed@g.bracu.ac.bd</t>
  </si>
  <si>
    <t>BRAC University</t>
  </si>
  <si>
    <t>Final Grade Sheet</t>
  </si>
  <si>
    <t>Summer 2025</t>
  </si>
  <si>
    <t>Department/ School: CSE</t>
  </si>
  <si>
    <t>Course No :</t>
  </si>
  <si>
    <t>CSE 221</t>
  </si>
  <si>
    <t xml:space="preserve">Course Title: </t>
  </si>
  <si>
    <t>Algorithms</t>
  </si>
  <si>
    <t>Section:</t>
  </si>
  <si>
    <t xml:space="preserve">Faculty Name: </t>
  </si>
  <si>
    <t>Abdullah Al Nakib</t>
  </si>
  <si>
    <t>Sl #</t>
  </si>
  <si>
    <t>ID #</t>
  </si>
  <si>
    <t>Atten.</t>
  </si>
  <si>
    <t>Quiz</t>
  </si>
  <si>
    <t>Assig.</t>
  </si>
  <si>
    <t>Lab</t>
  </si>
  <si>
    <t>Midterm</t>
  </si>
  <si>
    <t>Project 1</t>
  </si>
  <si>
    <t>Project 2</t>
  </si>
  <si>
    <t>Final</t>
  </si>
  <si>
    <t>Total</t>
  </si>
  <si>
    <t>Grades</t>
  </si>
  <si>
    <t>Suffix</t>
  </si>
  <si>
    <t>(with suffix)</t>
  </si>
  <si>
    <t>(in words)</t>
  </si>
  <si>
    <t>Student ID</t>
  </si>
  <si>
    <t>Lab  (25)</t>
  </si>
  <si>
    <t>Total        (out of 100)</t>
  </si>
  <si>
    <t>CO2</t>
  </si>
  <si>
    <t>CO1</t>
  </si>
  <si>
    <t>CO3</t>
  </si>
  <si>
    <t>Midterm (35)</t>
  </si>
  <si>
    <t>Midterm (20)</t>
  </si>
  <si>
    <t>1 a, b, c (10)</t>
  </si>
  <si>
    <t>2 a,b,c (9)</t>
  </si>
  <si>
    <t>2 d(1)</t>
  </si>
  <si>
    <t>3 a, b(5)</t>
  </si>
  <si>
    <t>4a(4)</t>
  </si>
  <si>
    <t>4 b, c(6)</t>
  </si>
  <si>
    <t>Final out of 40</t>
  </si>
  <si>
    <t>Final(30)</t>
  </si>
  <si>
    <t>1 a,b,c,d CO1       Marks 10</t>
  </si>
  <si>
    <t>2 a, c CO1    Marks 6</t>
  </si>
  <si>
    <t>2 b CO3        Marks 2</t>
  </si>
  <si>
    <t>2 d CO2        Marks 2</t>
  </si>
  <si>
    <t>3 a CO1        Marks 5</t>
  </si>
  <si>
    <t>3 b CO2        Marks 3</t>
  </si>
  <si>
    <t>3 c CO3        Marks 2</t>
  </si>
  <si>
    <t>4 CO1      marks 10</t>
  </si>
  <si>
    <t>Quiz 1   (out of 10)</t>
  </si>
  <si>
    <t>Quiz 2   (out of 10)</t>
  </si>
  <si>
    <t>Quiz 3 (out of 10)</t>
  </si>
  <si>
    <t>Quiz 4   (out of 10)</t>
  </si>
  <si>
    <t>Bonus</t>
  </si>
  <si>
    <t>Overall Quiz score   (Out of 20)           best (n-1)  with bonus</t>
  </si>
  <si>
    <t>Overall Quiz score   (Out of 20)           best (n-1) without bonus</t>
  </si>
  <si>
    <t>A1</t>
  </si>
  <si>
    <t>A2</t>
  </si>
  <si>
    <t>A3</t>
  </si>
  <si>
    <t>A4</t>
  </si>
  <si>
    <t>Assignment    (out of 5)</t>
  </si>
  <si>
    <t>Student</t>
  </si>
  <si>
    <t>Assign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</si>
</sst>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\ #\ %\)"/>
    <numFmt numFmtId="165" formatCode="\(0.00\)"/>
  </numFmts>
  <fonts count="30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2.0"/>
      <color rgb="FF000000"/>
      <name val="Arial"/>
    </font>
    <font>
      <color rgb="FF000000"/>
      <name val="Calibri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sz val="11.0"/>
      <color theme="1"/>
      <name val="Tahoma"/>
    </font>
    <font>
      <b/>
      <sz val="12.0"/>
      <color theme="1"/>
      <name val="Arial"/>
    </font>
    <font>
      <sz val="11.0"/>
      <color theme="1"/>
      <name val="Roboto"/>
    </font>
    <font>
      <sz val="12.0"/>
      <color theme="1"/>
      <name val="Arial"/>
    </font>
    <font>
      <sz val="11.0"/>
      <color rgb="FF000000"/>
      <name val="Roboto"/>
    </font>
    <font>
      <sz val="12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</font>
    <font>
      <sz val="11.0"/>
      <color rgb="FF000000"/>
      <name val="Docs-Calibri"/>
    </font>
    <font>
      <color rgb="FF1F1F1F"/>
      <name val="Roboto"/>
    </font>
    <font>
      <sz val="8.0"/>
      <color theme="1"/>
      <name val="Tahoma"/>
    </font>
    <font>
      <color theme="1"/>
      <name val="Arial"/>
    </font>
    <font>
      <b/>
      <i/>
      <sz val="8.0"/>
      <color theme="1"/>
      <name val="Tahoma"/>
    </font>
    <font>
      <sz val="10.0"/>
      <color rgb="FF000000"/>
      <name val="Tahoma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right" readingOrder="0"/>
    </xf>
    <xf borderId="3" fillId="2" fontId="4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5" numFmtId="49" xfId="0" applyAlignment="1" applyFont="1" applyNumberFormat="1">
      <alignment horizontal="left" shrinkToFit="0" vertical="bottom" wrapText="0"/>
    </xf>
    <xf borderId="0" fillId="0" fontId="3" numFmtId="49" xfId="0" applyAlignment="1" applyFont="1" applyNumberFormat="1">
      <alignment horizontal="left" readingOrder="0" vertical="bottom"/>
    </xf>
    <xf borderId="0" fillId="0" fontId="6" numFmtId="0" xfId="0" applyFont="1"/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1" fillId="0" fontId="10" numFmtId="4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vertical="bottom"/>
    </xf>
    <xf borderId="1" fillId="0" fontId="12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right" vertical="bottom"/>
    </xf>
    <xf borderId="4" fillId="2" fontId="7" numFmtId="49" xfId="0" applyAlignment="1" applyBorder="1" applyFont="1" applyNumberFormat="1">
      <alignment horizontal="center" vertical="bottom"/>
    </xf>
    <xf borderId="4" fillId="2" fontId="7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  <xf borderId="1" fillId="2" fontId="13" numFmtId="0" xfId="0" applyAlignment="1" applyBorder="1" applyFont="1">
      <alignment horizontal="right" vertical="bottom"/>
    </xf>
    <xf borderId="4" fillId="2" fontId="13" numFmtId="0" xfId="0" applyAlignment="1" applyBorder="1" applyFont="1">
      <alignment horizontal="right" vertical="bottom"/>
    </xf>
    <xf borderId="4" fillId="2" fontId="7" numFmtId="0" xfId="0" applyAlignment="1" applyBorder="1" applyFont="1">
      <alignment horizontal="center" vertical="bottom"/>
    </xf>
    <xf borderId="0" fillId="2" fontId="6" numFmtId="0" xfId="0" applyFont="1"/>
    <xf borderId="0" fillId="0" fontId="12" numFmtId="0" xfId="0" applyAlignment="1" applyFont="1">
      <alignment vertical="bottom"/>
    </xf>
    <xf borderId="1" fillId="2" fontId="14" numFmtId="0" xfId="0" applyAlignment="1" applyBorder="1" applyFont="1">
      <alignment horizontal="center" readingOrder="0" shrinkToFit="0" vertical="top" wrapText="1"/>
    </xf>
    <xf borderId="1" fillId="2" fontId="14" numFmtId="0" xfId="0" applyAlignment="1" applyBorder="1" applyFont="1">
      <alignment horizontal="left" shrinkToFit="0" vertical="top" wrapText="1"/>
    </xf>
    <xf borderId="1" fillId="2" fontId="14" numFmtId="0" xfId="0" applyAlignment="1" applyBorder="1" applyFont="1">
      <alignment horizontal="center" shrinkToFit="0" vertical="top" wrapText="1"/>
    </xf>
    <xf borderId="1" fillId="3" fontId="14" numFmtId="0" xfId="0" applyAlignment="1" applyBorder="1" applyFill="1" applyFont="1">
      <alignment horizontal="center" readingOrder="0" shrinkToFit="0" vertical="top" wrapText="1"/>
    </xf>
    <xf borderId="1" fillId="2" fontId="15" numFmtId="49" xfId="0" applyAlignment="1" applyBorder="1" applyFont="1" applyNumberFormat="1">
      <alignment horizontal="center" vertical="top"/>
    </xf>
    <xf borderId="1" fillId="2" fontId="15" numFmtId="49" xfId="0" applyAlignment="1" applyBorder="1" applyFont="1" applyNumberFormat="1">
      <alignment horizontal="left" vertical="top"/>
    </xf>
    <xf borderId="1" fillId="2" fontId="16" numFmtId="0" xfId="0" applyAlignment="1" applyBorder="1" applyFont="1">
      <alignment horizontal="center" shrinkToFit="0" vertical="top" wrapText="1"/>
    </xf>
    <xf borderId="1" fillId="4" fontId="15" numFmtId="0" xfId="0" applyAlignment="1" applyBorder="1" applyFill="1" applyFont="1">
      <alignment horizontal="center" vertical="top"/>
    </xf>
    <xf borderId="1" fillId="2" fontId="16" numFmtId="0" xfId="0" applyAlignment="1" applyBorder="1" applyFont="1">
      <alignment horizontal="center" readingOrder="0" shrinkToFit="0" vertical="top" wrapText="1"/>
    </xf>
    <xf borderId="1" fillId="2" fontId="17" numFmtId="49" xfId="0" applyAlignment="1" applyBorder="1" applyFont="1" applyNumberFormat="1">
      <alignment horizontal="center" vertical="top"/>
    </xf>
    <xf borderId="1" fillId="2" fontId="17" numFmtId="49" xfId="0" applyAlignment="1" applyBorder="1" applyFont="1" applyNumberFormat="1">
      <alignment horizontal="left" vertical="top"/>
    </xf>
    <xf borderId="1" fillId="2" fontId="18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/>
    </xf>
    <xf borderId="0" fillId="2" fontId="7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0" fontId="19" numFmtId="0" xfId="0" applyAlignment="1" applyFont="1">
      <alignment horizontal="center" readingOrder="0" shrinkToFit="0" wrapText="1"/>
    </xf>
    <xf borderId="0" fillId="4" fontId="2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readingOrder="0"/>
    </xf>
    <xf borderId="0" fillId="0" fontId="12" numFmtId="0" xfId="0" applyAlignment="1" applyFont="1">
      <alignment vertical="bottom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right" readingOrder="0" shrinkToFit="0" wrapText="0"/>
    </xf>
    <xf borderId="0" fillId="4" fontId="6" numFmtId="0" xfId="0" applyFont="1"/>
    <xf borderId="0" fillId="0" fontId="6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5" fontId="5" numFmtId="0" xfId="0" applyAlignment="1" applyFill="1" applyFont="1">
      <alignment horizontal="right" readingOrder="0" shrinkToFit="0" wrapText="0"/>
    </xf>
    <xf borderId="0" fillId="5" fontId="6" numFmtId="0" xfId="0" applyFont="1"/>
    <xf borderId="0" fillId="5" fontId="6" numFmtId="0" xfId="0" applyAlignment="1" applyFont="1">
      <alignment readingOrder="0"/>
    </xf>
    <xf borderId="0" fillId="5" fontId="12" numFmtId="0" xfId="0" applyAlignment="1" applyFont="1">
      <alignment horizontal="right" vertical="bottom"/>
    </xf>
    <xf borderId="0" fillId="5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5" fontId="12" numFmtId="0" xfId="0" applyAlignment="1" applyFont="1">
      <alignment vertical="bottom"/>
    </xf>
    <xf borderId="0" fillId="0" fontId="5" numFmtId="49" xfId="0" applyAlignment="1" applyFont="1" applyNumberFormat="1">
      <alignment horizontal="right" readingOrder="0" shrinkToFit="0" wrapText="0"/>
    </xf>
    <xf borderId="0" fillId="0" fontId="6" numFmtId="0" xfId="0" applyFont="1"/>
    <xf borderId="0" fillId="2" fontId="23" numFmtId="0" xfId="0" applyAlignment="1" applyFont="1">
      <alignment horizontal="right" readingOrder="0" shrinkToFit="0" vertical="bottom" wrapText="0"/>
    </xf>
    <xf borderId="0" fillId="2" fontId="23" numFmtId="0" xfId="0" applyAlignment="1" applyFont="1">
      <alignment horizontal="right" shrinkToFit="0" vertical="bottom" wrapText="0"/>
    </xf>
    <xf borderId="0" fillId="0" fontId="24" numFmtId="0" xfId="0" applyFont="1"/>
    <xf borderId="1" fillId="2" fontId="19" numFmtId="0" xfId="0" applyAlignment="1" applyBorder="1" applyFont="1">
      <alignment horizontal="center" readingOrder="0" shrinkToFit="0" wrapText="1"/>
    </xf>
    <xf borderId="1" fillId="2" fontId="19" numFmtId="0" xfId="0" applyAlignment="1" applyBorder="1" applyFont="1">
      <alignment horizontal="right" readingOrder="0" shrinkToFit="0" wrapText="1"/>
    </xf>
    <xf borderId="1" fillId="2" fontId="20" numFmtId="0" xfId="0" applyAlignment="1" applyBorder="1" applyFont="1">
      <alignment horizontal="center" readingOrder="0" shrinkToFit="0" wrapText="1"/>
    </xf>
    <xf borderId="1" fillId="2" fontId="22" numFmtId="0" xfId="0" applyAlignment="1" applyBorder="1" applyFont="1">
      <alignment horizontal="center" shrinkToFit="0" vertical="bottom" wrapText="1"/>
    </xf>
    <xf borderId="1" fillId="4" fontId="22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6" fontId="12" numFmtId="0" xfId="0" applyAlignment="1" applyBorder="1" applyFill="1" applyFont="1">
      <alignment horizontal="right" vertical="bottom"/>
    </xf>
    <xf borderId="1" fillId="4" fontId="12" numFmtId="0" xfId="0" applyAlignment="1" applyBorder="1" applyFont="1">
      <alignment horizontal="right" vertical="bottom"/>
    </xf>
    <xf borderId="5" fillId="6" fontId="12" numFmtId="0" xfId="0" applyAlignment="1" applyBorder="1" applyFont="1">
      <alignment horizontal="right" vertical="bottom"/>
    </xf>
    <xf borderId="5" fillId="4" fontId="12" numFmtId="0" xfId="0" applyAlignment="1" applyBorder="1" applyFont="1">
      <alignment horizontal="right" vertical="bottom"/>
    </xf>
    <xf borderId="1" fillId="0" fontId="5" numFmtId="49" xfId="0" applyAlignment="1" applyBorder="1" applyFont="1" applyNumberFormat="1">
      <alignment horizontal="right" readingOrder="0" shrinkToFit="0" wrapText="0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/>
    </xf>
    <xf borderId="5" fillId="0" fontId="6" numFmtId="49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1" fillId="2" fontId="14" numFmtId="49" xfId="0" applyAlignment="1" applyBorder="1" applyFont="1" applyNumberFormat="1">
      <alignment horizontal="center"/>
    </xf>
    <xf borderId="0" fillId="0" fontId="11" numFmtId="49" xfId="0" applyAlignment="1" applyFont="1" applyNumberFormat="1">
      <alignment horizontal="center" vertical="center"/>
    </xf>
    <xf borderId="0" fillId="0" fontId="25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27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vertical="center"/>
    </xf>
    <xf borderId="1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readingOrder="0" vertical="center"/>
    </xf>
    <xf borderId="4" fillId="0" fontId="28" numFmtId="0" xfId="0" applyAlignment="1" applyBorder="1" applyFont="1">
      <alignment horizontal="left" vertical="center"/>
    </xf>
    <xf borderId="4" fillId="0" fontId="28" numFmtId="0" xfId="0" applyAlignment="1" applyBorder="1" applyFont="1">
      <alignment vertical="center"/>
    </xf>
    <xf borderId="1" fillId="0" fontId="28" numFmtId="0" xfId="0" applyAlignment="1" applyBorder="1" applyFont="1">
      <alignment vertical="center"/>
    </xf>
    <xf borderId="4" fillId="0" fontId="29" numFmtId="0" xfId="0" applyAlignment="1" applyBorder="1" applyFont="1">
      <alignment horizontal="center" vertical="center"/>
    </xf>
    <xf borderId="1" fillId="0" fontId="28" numFmtId="0" xfId="0" applyAlignment="1" applyBorder="1" applyFont="1">
      <alignment readingOrder="0" vertical="center"/>
    </xf>
    <xf borderId="5" fillId="0" fontId="28" numFmtId="0" xfId="0" applyAlignment="1" applyBorder="1" applyFont="1">
      <alignment vertical="center"/>
    </xf>
    <xf borderId="7" fillId="0" fontId="28" numFmtId="0" xfId="0" applyAlignment="1" applyBorder="1" applyFont="1">
      <alignment vertical="center"/>
    </xf>
    <xf borderId="7" fillId="0" fontId="29" numFmtId="0" xfId="0" applyAlignment="1" applyBorder="1" applyFont="1">
      <alignment horizontal="center" vertical="center"/>
    </xf>
    <xf borderId="6" fillId="0" fontId="28" numFmtId="0" xfId="0" applyAlignment="1" applyBorder="1" applyFont="1">
      <alignment vertical="center"/>
    </xf>
    <xf borderId="6" fillId="0" fontId="29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49" xfId="0" applyAlignment="1" applyFont="1" applyNumberFormat="1">
      <alignment horizontal="center" vertical="center"/>
    </xf>
    <xf borderId="0" fillId="0" fontId="29" numFmtId="49" xfId="0" applyAlignment="1" applyFont="1" applyNumberFormat="1">
      <alignment vertical="center"/>
    </xf>
    <xf borderId="0" fillId="0" fontId="2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4.71"/>
    <col customWidth="1" min="3" max="3" width="45.71"/>
    <col customWidth="1" min="4" max="4" width="17.14"/>
    <col customWidth="1" min="5" max="5" width="19.0"/>
    <col customWidth="1" min="6" max="6" width="20.43"/>
    <col customWidth="1" min="7" max="7" width="23.14"/>
    <col customWidth="1" min="8" max="8" width="30.0"/>
    <col customWidth="1" min="9" max="24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2"/>
      <c r="G1" s="2"/>
      <c r="H1" s="2"/>
    </row>
    <row r="2" ht="14.25" customHeight="1">
      <c r="A2" s="3">
        <v>2.2101165E7</v>
      </c>
      <c r="B2" s="4" t="s">
        <v>2</v>
      </c>
      <c r="D2" s="4" t="s">
        <v>3</v>
      </c>
      <c r="E2" s="5"/>
      <c r="F2" s="6"/>
      <c r="G2" s="4"/>
      <c r="H2" s="4"/>
      <c r="I2" s="4"/>
      <c r="J2" s="4"/>
    </row>
    <row r="3" ht="14.25" customHeight="1">
      <c r="A3" s="7">
        <v>2.2101192E7</v>
      </c>
      <c r="B3" s="5" t="s">
        <v>4</v>
      </c>
      <c r="C3" s="5" t="s">
        <v>5</v>
      </c>
      <c r="D3" s="5" t="s">
        <v>3</v>
      </c>
      <c r="E3" s="5">
        <v>1.842405184E9</v>
      </c>
      <c r="F3" s="5" t="s">
        <v>6</v>
      </c>
      <c r="G3" s="4"/>
      <c r="H3" s="4"/>
      <c r="I3" s="4"/>
      <c r="J3" s="4"/>
    </row>
    <row r="4" ht="14.25" customHeight="1">
      <c r="A4" s="7">
        <v>2.2101297E7</v>
      </c>
      <c r="B4" s="5" t="s">
        <v>7</v>
      </c>
      <c r="C4" s="5" t="s">
        <v>8</v>
      </c>
      <c r="D4" s="5" t="s">
        <v>3</v>
      </c>
      <c r="E4" s="5">
        <v>1.304896808E9</v>
      </c>
      <c r="F4" s="5" t="s">
        <v>9</v>
      </c>
      <c r="G4" s="4"/>
      <c r="H4" s="4"/>
      <c r="I4" s="4"/>
      <c r="J4" s="4"/>
    </row>
    <row r="5" ht="14.25" customHeight="1">
      <c r="A5" s="7">
        <v>2.2201706E7</v>
      </c>
      <c r="B5" s="5" t="s">
        <v>10</v>
      </c>
      <c r="C5" s="5" t="s">
        <v>8</v>
      </c>
      <c r="D5" s="5" t="s">
        <v>3</v>
      </c>
      <c r="E5" s="5">
        <v>1.953941972E9</v>
      </c>
      <c r="F5" s="5" t="s">
        <v>11</v>
      </c>
      <c r="G5" s="4"/>
      <c r="H5" s="4"/>
      <c r="I5" s="4"/>
      <c r="J5" s="4"/>
    </row>
    <row r="6" ht="14.25" customHeight="1">
      <c r="A6" s="7">
        <v>2.2301485E7</v>
      </c>
      <c r="B6" s="5" t="s">
        <v>12</v>
      </c>
      <c r="C6" s="5" t="s">
        <v>8</v>
      </c>
      <c r="D6" s="5" t="s">
        <v>3</v>
      </c>
      <c r="E6" s="5">
        <v>1.535464722E9</v>
      </c>
      <c r="F6" s="5" t="s">
        <v>13</v>
      </c>
      <c r="G6" s="4"/>
      <c r="H6" s="4"/>
      <c r="I6" s="4"/>
      <c r="J6" s="4"/>
    </row>
    <row r="7" ht="14.25" customHeight="1">
      <c r="A7" s="7">
        <v>2.2301581E7</v>
      </c>
      <c r="B7" s="5" t="s">
        <v>14</v>
      </c>
      <c r="C7" s="5" t="s">
        <v>5</v>
      </c>
      <c r="D7" s="5" t="s">
        <v>15</v>
      </c>
      <c r="E7" s="5">
        <v>1.743399277E9</v>
      </c>
      <c r="F7" s="5" t="s">
        <v>16</v>
      </c>
      <c r="G7" s="4"/>
      <c r="H7" s="4"/>
      <c r="I7" s="4"/>
      <c r="J7" s="4"/>
    </row>
    <row r="8" ht="14.25" customHeight="1">
      <c r="A8" s="7">
        <v>2.3101152E7</v>
      </c>
      <c r="B8" s="5" t="s">
        <v>17</v>
      </c>
      <c r="C8" s="5" t="s">
        <v>8</v>
      </c>
      <c r="D8" s="5" t="s">
        <v>15</v>
      </c>
      <c r="E8" s="5">
        <v>1.625865478E9</v>
      </c>
      <c r="F8" s="5" t="s">
        <v>18</v>
      </c>
      <c r="G8" s="4"/>
      <c r="H8" s="4"/>
      <c r="I8" s="4"/>
      <c r="J8" s="4"/>
    </row>
    <row r="9" ht="14.25" customHeight="1">
      <c r="A9" s="7">
        <v>2.3101196E7</v>
      </c>
      <c r="B9" s="5" t="s">
        <v>19</v>
      </c>
      <c r="C9" s="5" t="s">
        <v>5</v>
      </c>
      <c r="D9" s="5" t="s">
        <v>3</v>
      </c>
      <c r="E9" s="5">
        <v>1.909151317E9</v>
      </c>
      <c r="F9" s="5" t="s">
        <v>20</v>
      </c>
      <c r="G9" s="4"/>
      <c r="H9" s="4"/>
      <c r="I9" s="4"/>
      <c r="J9" s="4"/>
    </row>
    <row r="10" ht="14.25" customHeight="1">
      <c r="A10" s="7">
        <v>2.3201055E7</v>
      </c>
      <c r="B10" s="5" t="s">
        <v>21</v>
      </c>
      <c r="C10" s="5" t="s">
        <v>8</v>
      </c>
      <c r="D10" s="5" t="s">
        <v>3</v>
      </c>
      <c r="E10" s="5">
        <v>1.912598849E9</v>
      </c>
      <c r="F10" s="5" t="s">
        <v>22</v>
      </c>
      <c r="G10" s="4"/>
      <c r="H10" s="4"/>
      <c r="I10" s="4"/>
      <c r="J10" s="4"/>
    </row>
    <row r="11" ht="14.25" customHeight="1">
      <c r="A11" s="7">
        <v>2.3301401E7</v>
      </c>
      <c r="B11" s="5" t="s">
        <v>23</v>
      </c>
      <c r="C11" s="5" t="s">
        <v>8</v>
      </c>
      <c r="D11" s="5" t="s">
        <v>3</v>
      </c>
      <c r="E11" s="5">
        <v>1.715017247E9</v>
      </c>
      <c r="F11" s="5" t="s">
        <v>24</v>
      </c>
      <c r="G11" s="4"/>
      <c r="H11" s="4"/>
      <c r="I11" s="4"/>
      <c r="J11" s="4"/>
    </row>
    <row r="12" ht="14.25" customHeight="1">
      <c r="A12" s="7">
        <v>2.4101043E7</v>
      </c>
      <c r="B12" s="5" t="s">
        <v>25</v>
      </c>
      <c r="C12" s="5" t="s">
        <v>8</v>
      </c>
      <c r="D12" s="5" t="s">
        <v>3</v>
      </c>
      <c r="E12" s="5">
        <v>1.312868266E9</v>
      </c>
      <c r="F12" s="5" t="s">
        <v>26</v>
      </c>
      <c r="G12" s="4"/>
      <c r="H12" s="4"/>
      <c r="I12" s="4"/>
      <c r="J12" s="4"/>
    </row>
    <row r="13" ht="14.25" customHeight="1">
      <c r="A13" s="7">
        <v>2.4101081E7</v>
      </c>
      <c r="B13" s="5" t="s">
        <v>27</v>
      </c>
      <c r="C13" s="5" t="s">
        <v>8</v>
      </c>
      <c r="D13" s="5" t="s">
        <v>3</v>
      </c>
      <c r="E13" s="5">
        <v>1.833156027E9</v>
      </c>
      <c r="F13" s="5" t="s">
        <v>28</v>
      </c>
      <c r="G13" s="4"/>
      <c r="H13" s="4"/>
      <c r="I13" s="4"/>
      <c r="J13" s="4"/>
    </row>
    <row r="14" ht="14.25" customHeight="1">
      <c r="A14" s="7">
        <v>2.4101103E7</v>
      </c>
      <c r="B14" s="5" t="s">
        <v>29</v>
      </c>
      <c r="C14" s="5" t="s">
        <v>8</v>
      </c>
      <c r="D14" s="5" t="s">
        <v>3</v>
      </c>
      <c r="E14" s="5">
        <v>1.795346838E9</v>
      </c>
      <c r="F14" s="5" t="s">
        <v>30</v>
      </c>
      <c r="G14" s="4"/>
      <c r="H14" s="4"/>
      <c r="I14" s="4"/>
      <c r="J14" s="4"/>
    </row>
    <row r="15" ht="14.25" customHeight="1">
      <c r="A15" s="7">
        <v>2.4110031E7</v>
      </c>
      <c r="B15" s="5" t="s">
        <v>31</v>
      </c>
      <c r="C15" s="5" t="s">
        <v>8</v>
      </c>
      <c r="D15" s="5" t="s">
        <v>32</v>
      </c>
      <c r="E15" s="7">
        <v>8.801792695523E12</v>
      </c>
      <c r="F15" s="5" t="s">
        <v>33</v>
      </c>
      <c r="G15" s="4"/>
      <c r="H15" s="4"/>
      <c r="I15" s="4"/>
      <c r="J15" s="4"/>
    </row>
    <row r="16" ht="14.25" customHeight="1">
      <c r="A16" s="7">
        <v>2.420114E7</v>
      </c>
      <c r="B16" s="5" t="s">
        <v>34</v>
      </c>
      <c r="C16" s="5" t="s">
        <v>8</v>
      </c>
      <c r="D16" s="5" t="s">
        <v>3</v>
      </c>
      <c r="E16" s="5">
        <v>1.403554383E9</v>
      </c>
      <c r="F16" s="5" t="s">
        <v>35</v>
      </c>
      <c r="G16" s="4"/>
      <c r="H16" s="4"/>
      <c r="I16" s="4"/>
      <c r="J16" s="4"/>
    </row>
    <row r="17" ht="14.25" customHeight="1">
      <c r="A17" s="7">
        <v>2.4301023E7</v>
      </c>
      <c r="B17" s="5" t="s">
        <v>36</v>
      </c>
      <c r="C17" s="5" t="s">
        <v>8</v>
      </c>
      <c r="D17" s="5" t="s">
        <v>3</v>
      </c>
      <c r="E17" s="5">
        <v>1.581568121E9</v>
      </c>
      <c r="F17" s="5" t="s">
        <v>37</v>
      </c>
      <c r="G17" s="4"/>
      <c r="H17" s="4"/>
      <c r="I17" s="4"/>
      <c r="J17" s="4"/>
    </row>
    <row r="18" ht="14.25" customHeight="1">
      <c r="A18" s="7">
        <v>2.4301062E7</v>
      </c>
      <c r="B18" s="5" t="s">
        <v>38</v>
      </c>
      <c r="C18" s="5" t="s">
        <v>8</v>
      </c>
      <c r="D18" s="5" t="s">
        <v>3</v>
      </c>
      <c r="E18" s="5">
        <v>1.717566995E9</v>
      </c>
      <c r="F18" s="5" t="s">
        <v>39</v>
      </c>
      <c r="G18" s="4"/>
      <c r="H18" s="4"/>
      <c r="I18" s="4"/>
      <c r="J18" s="4"/>
    </row>
    <row r="19" ht="14.25" customHeight="1">
      <c r="A19" s="7">
        <v>2.4301066E7</v>
      </c>
      <c r="B19" s="5" t="s">
        <v>40</v>
      </c>
      <c r="C19" s="5" t="s">
        <v>5</v>
      </c>
      <c r="D19" s="5" t="s">
        <v>3</v>
      </c>
      <c r="E19" s="5">
        <v>1.9754642E9</v>
      </c>
      <c r="F19" s="5" t="s">
        <v>41</v>
      </c>
      <c r="G19" s="4"/>
      <c r="H19" s="4"/>
      <c r="I19" s="4"/>
      <c r="J19" s="4"/>
    </row>
    <row r="20" ht="14.25" customHeight="1">
      <c r="A20" s="7">
        <v>2.4301073E7</v>
      </c>
      <c r="B20" s="5" t="s">
        <v>42</v>
      </c>
      <c r="C20" s="5" t="s">
        <v>8</v>
      </c>
      <c r="D20" s="5" t="s">
        <v>3</v>
      </c>
      <c r="E20" s="5">
        <v>1.832425909E9</v>
      </c>
      <c r="F20" s="5" t="s">
        <v>43</v>
      </c>
      <c r="G20" s="4"/>
      <c r="H20" s="4"/>
      <c r="I20" s="4"/>
      <c r="J20" s="4"/>
    </row>
    <row r="21" ht="14.25" customHeight="1">
      <c r="A21" s="7">
        <v>2.4301181E7</v>
      </c>
      <c r="B21" s="5" t="s">
        <v>44</v>
      </c>
      <c r="C21" s="5" t="s">
        <v>8</v>
      </c>
      <c r="D21" s="5" t="s">
        <v>3</v>
      </c>
      <c r="E21" s="5">
        <v>1.836891054E9</v>
      </c>
      <c r="F21" s="5" t="s">
        <v>45</v>
      </c>
      <c r="G21" s="4"/>
      <c r="H21" s="4"/>
      <c r="I21" s="4"/>
      <c r="J21" s="4"/>
    </row>
    <row r="22" ht="14.25" customHeight="1">
      <c r="A22" s="7">
        <v>2.4301184E7</v>
      </c>
      <c r="B22" s="5" t="s">
        <v>46</v>
      </c>
      <c r="C22" s="5" t="s">
        <v>8</v>
      </c>
      <c r="D22" s="5" t="s">
        <v>3</v>
      </c>
      <c r="E22" s="5">
        <v>1.976149396E9</v>
      </c>
      <c r="F22" s="5" t="s">
        <v>47</v>
      </c>
      <c r="G22" s="4"/>
      <c r="H22" s="4"/>
      <c r="I22" s="4"/>
      <c r="J22" s="4"/>
    </row>
    <row r="23" ht="14.25" customHeight="1">
      <c r="A23" s="7">
        <v>2.4301192E7</v>
      </c>
      <c r="B23" s="5" t="s">
        <v>48</v>
      </c>
      <c r="C23" s="5" t="s">
        <v>8</v>
      </c>
      <c r="D23" s="5" t="s">
        <v>3</v>
      </c>
      <c r="E23" s="5">
        <v>1.317272133E9</v>
      </c>
      <c r="F23" s="5" t="s">
        <v>49</v>
      </c>
      <c r="G23" s="4"/>
      <c r="H23" s="4"/>
      <c r="I23" s="4"/>
      <c r="J23" s="4"/>
    </row>
    <row r="24" ht="14.25" customHeight="1">
      <c r="A24" s="7">
        <v>2.4301202E7</v>
      </c>
      <c r="B24" s="5" t="s">
        <v>50</v>
      </c>
      <c r="C24" s="5" t="s">
        <v>8</v>
      </c>
      <c r="D24" s="5" t="s">
        <v>15</v>
      </c>
      <c r="E24" s="5">
        <v>1.854556811E9</v>
      </c>
      <c r="F24" s="5" t="s">
        <v>51</v>
      </c>
      <c r="G24" s="4"/>
      <c r="H24" s="4"/>
      <c r="I24" s="4"/>
      <c r="J24" s="4"/>
    </row>
    <row r="25" ht="14.25" customHeight="1">
      <c r="A25" s="7">
        <v>2.4301306E7</v>
      </c>
      <c r="B25" s="5" t="s">
        <v>52</v>
      </c>
      <c r="C25" s="5" t="s">
        <v>8</v>
      </c>
      <c r="D25" s="5" t="s">
        <v>3</v>
      </c>
      <c r="E25" s="5">
        <v>1.54034844E9</v>
      </c>
      <c r="F25" s="5" t="s">
        <v>53</v>
      </c>
      <c r="G25" s="4"/>
      <c r="H25" s="4"/>
      <c r="I25" s="4"/>
      <c r="J25" s="4"/>
    </row>
    <row r="26" ht="14.25" customHeight="1">
      <c r="A26" s="7">
        <v>2.430132E7</v>
      </c>
      <c r="B26" s="5" t="s">
        <v>54</v>
      </c>
      <c r="C26" s="5" t="s">
        <v>8</v>
      </c>
      <c r="D26" s="5" t="s">
        <v>3</v>
      </c>
      <c r="E26" s="5">
        <v>1.894087254E9</v>
      </c>
      <c r="F26" s="5" t="s">
        <v>55</v>
      </c>
      <c r="G26" s="4"/>
      <c r="H26" s="4"/>
      <c r="I26" s="4"/>
      <c r="J26" s="4"/>
    </row>
    <row r="27" ht="14.25" customHeight="1">
      <c r="A27" s="7">
        <v>2.4301321E7</v>
      </c>
      <c r="B27" s="5" t="s">
        <v>56</v>
      </c>
      <c r="C27" s="5" t="s">
        <v>8</v>
      </c>
      <c r="D27" s="5" t="s">
        <v>15</v>
      </c>
      <c r="E27" s="5">
        <v>1.723209499E9</v>
      </c>
      <c r="F27" s="5" t="s">
        <v>57</v>
      </c>
      <c r="G27" s="4"/>
      <c r="H27" s="4"/>
      <c r="I27" s="4"/>
      <c r="J27" s="4"/>
    </row>
    <row r="28" ht="14.25" customHeight="1">
      <c r="A28" s="7">
        <v>2.4301358E7</v>
      </c>
      <c r="B28" s="5" t="s">
        <v>58</v>
      </c>
      <c r="C28" s="5" t="s">
        <v>5</v>
      </c>
      <c r="D28" s="5" t="s">
        <v>3</v>
      </c>
      <c r="E28" s="5">
        <v>1.850613853E9</v>
      </c>
      <c r="F28" s="5" t="s">
        <v>59</v>
      </c>
      <c r="G28" s="4"/>
      <c r="H28" s="4"/>
      <c r="I28" s="4"/>
      <c r="J28" s="4"/>
    </row>
    <row r="29" ht="14.25" customHeight="1">
      <c r="A29" s="7">
        <v>2.4301367E7</v>
      </c>
      <c r="B29" s="5" t="s">
        <v>60</v>
      </c>
      <c r="C29" s="5" t="s">
        <v>8</v>
      </c>
      <c r="D29" s="5" t="s">
        <v>3</v>
      </c>
      <c r="E29" s="5">
        <v>1.830669996E9</v>
      </c>
      <c r="F29" s="5" t="s">
        <v>61</v>
      </c>
      <c r="G29" s="4"/>
      <c r="H29" s="4"/>
      <c r="I29" s="4"/>
      <c r="J29" s="4"/>
    </row>
    <row r="30" ht="14.25" customHeight="1">
      <c r="A30" s="7">
        <v>2.4301375E7</v>
      </c>
      <c r="B30" s="5" t="s">
        <v>62</v>
      </c>
      <c r="C30" s="5" t="s">
        <v>8</v>
      </c>
      <c r="D30" s="5" t="s">
        <v>3</v>
      </c>
      <c r="E30" s="5">
        <v>1.89622412E9</v>
      </c>
      <c r="F30" s="5" t="s">
        <v>63</v>
      </c>
      <c r="G30" s="4"/>
      <c r="H30" s="4"/>
      <c r="I30" s="4"/>
      <c r="J30" s="4"/>
    </row>
    <row r="31" ht="14.25" customHeight="1">
      <c r="A31" s="7">
        <v>2.430142E7</v>
      </c>
      <c r="B31" s="5" t="s">
        <v>64</v>
      </c>
      <c r="C31" s="5" t="s">
        <v>8</v>
      </c>
      <c r="D31" s="5" t="s">
        <v>3</v>
      </c>
      <c r="E31" s="5">
        <v>1.306127287E9</v>
      </c>
      <c r="F31" s="5" t="s">
        <v>65</v>
      </c>
      <c r="G31" s="4"/>
      <c r="H31" s="4"/>
      <c r="I31" s="4"/>
      <c r="J31" s="4"/>
    </row>
    <row r="32" ht="14.25" customHeight="1">
      <c r="A32" s="7">
        <v>2.4301451E7</v>
      </c>
      <c r="B32" s="5" t="s">
        <v>66</v>
      </c>
      <c r="C32" s="5" t="s">
        <v>5</v>
      </c>
      <c r="D32" s="5" t="s">
        <v>3</v>
      </c>
      <c r="E32" s="5">
        <v>1.710271926E9</v>
      </c>
      <c r="F32" s="5" t="s">
        <v>67</v>
      </c>
      <c r="G32" s="4"/>
      <c r="H32" s="4"/>
      <c r="I32" s="4"/>
      <c r="J32" s="4"/>
    </row>
    <row r="33" ht="14.25" customHeight="1">
      <c r="A33" s="7">
        <v>2.4301484E7</v>
      </c>
      <c r="B33" s="5" t="s">
        <v>68</v>
      </c>
      <c r="C33" s="5" t="s">
        <v>8</v>
      </c>
      <c r="D33" s="5" t="s">
        <v>15</v>
      </c>
      <c r="E33" s="7">
        <v>8.80152212232E12</v>
      </c>
      <c r="F33" s="5" t="s">
        <v>69</v>
      </c>
      <c r="G33" s="4"/>
      <c r="H33" s="4"/>
      <c r="I33" s="4"/>
      <c r="J33" s="4"/>
    </row>
    <row r="34" ht="14.25" customHeight="1">
      <c r="A34" s="7">
        <v>2.4301499E7</v>
      </c>
      <c r="B34" s="5" t="s">
        <v>70</v>
      </c>
      <c r="C34" s="5" t="s">
        <v>5</v>
      </c>
      <c r="D34" s="5" t="s">
        <v>3</v>
      </c>
      <c r="E34" s="5">
        <v>1.678714558E9</v>
      </c>
      <c r="F34" s="5" t="s">
        <v>71</v>
      </c>
      <c r="G34" s="4"/>
      <c r="H34" s="4"/>
      <c r="I34" s="4"/>
      <c r="J34" s="4"/>
    </row>
    <row r="35" ht="14.25" customHeight="1">
      <c r="A35" s="7">
        <v>2.4301519E7</v>
      </c>
      <c r="B35" s="5" t="s">
        <v>72</v>
      </c>
      <c r="C35" s="5" t="s">
        <v>5</v>
      </c>
      <c r="D35" s="5" t="s">
        <v>3</v>
      </c>
      <c r="E35" s="5">
        <v>1.75089067E9</v>
      </c>
      <c r="F35" s="5" t="s">
        <v>73</v>
      </c>
      <c r="G35" s="4"/>
      <c r="H35" s="4"/>
      <c r="I35" s="4"/>
      <c r="J35" s="4"/>
    </row>
    <row r="36" ht="14.25" customHeight="1">
      <c r="A36" s="7">
        <v>2.4301546E7</v>
      </c>
      <c r="B36" s="5" t="s">
        <v>74</v>
      </c>
      <c r="C36" s="5" t="s">
        <v>8</v>
      </c>
      <c r="D36" s="5" t="s">
        <v>3</v>
      </c>
      <c r="E36" s="5">
        <v>1.916317404E9</v>
      </c>
      <c r="F36" s="5" t="s">
        <v>75</v>
      </c>
      <c r="G36" s="4"/>
      <c r="H36" s="4"/>
      <c r="I36" s="4"/>
      <c r="J36" s="4"/>
    </row>
    <row r="37" ht="14.25" customHeight="1">
      <c r="A37" s="7">
        <v>2.431501E7</v>
      </c>
      <c r="B37" s="5" t="s">
        <v>76</v>
      </c>
      <c r="C37" s="5" t="s">
        <v>8</v>
      </c>
      <c r="D37" s="5" t="s">
        <v>3</v>
      </c>
      <c r="E37" s="5">
        <v>1.881779263E9</v>
      </c>
      <c r="F37" s="5" t="s">
        <v>77</v>
      </c>
      <c r="G37" s="8"/>
      <c r="H37" s="4"/>
      <c r="I37" s="4"/>
      <c r="J37" s="4"/>
    </row>
    <row r="38" ht="14.25" customHeight="1">
      <c r="A38" s="9">
        <v>2.4321222E7</v>
      </c>
      <c r="B38" s="10" t="s">
        <v>78</v>
      </c>
      <c r="C38" s="11" t="s">
        <v>8</v>
      </c>
      <c r="D38" s="11" t="s">
        <v>3</v>
      </c>
      <c r="E38" s="11">
        <v>1.902595477E9</v>
      </c>
      <c r="F38" s="10" t="s">
        <v>79</v>
      </c>
      <c r="G38" s="12"/>
      <c r="H38" s="13"/>
      <c r="I38" s="4"/>
      <c r="J38" s="4"/>
    </row>
    <row r="39" ht="14.25" customHeight="1">
      <c r="A39" s="14"/>
      <c r="H39" s="4"/>
      <c r="I39" s="4"/>
      <c r="J39" s="4"/>
    </row>
    <row r="40" ht="14.25" customHeight="1">
      <c r="A40" s="14"/>
    </row>
    <row r="41" ht="14.25" customHeight="1">
      <c r="A41" s="14"/>
    </row>
    <row r="42" ht="14.25" customHeight="1">
      <c r="A42" s="14"/>
    </row>
    <row r="43" ht="14.25" customHeight="1">
      <c r="A43" s="14"/>
    </row>
    <row r="44" ht="14.25" customHeight="1">
      <c r="A44" s="14"/>
    </row>
    <row r="45" ht="14.25" customHeight="1">
      <c r="A45" s="14"/>
    </row>
    <row r="46" ht="14.25" customHeight="1">
      <c r="A46" s="14"/>
    </row>
    <row r="47" ht="14.25" customHeight="1">
      <c r="A47" s="14"/>
    </row>
    <row r="48" ht="14.25" customHeight="1">
      <c r="A48" s="14"/>
    </row>
    <row r="49" ht="14.25" customHeight="1">
      <c r="A49" s="14"/>
    </row>
    <row r="50" ht="14.25" customHeight="1">
      <c r="A50" s="14"/>
    </row>
    <row r="51" ht="14.25" customHeight="1">
      <c r="A51" s="14"/>
    </row>
    <row r="52" ht="14.25" customHeight="1">
      <c r="A52" s="14"/>
    </row>
    <row r="53" ht="14.25" customHeight="1">
      <c r="A53" s="14"/>
    </row>
    <row r="54" ht="14.25" customHeight="1">
      <c r="A54" s="14"/>
    </row>
    <row r="55" ht="14.25" customHeight="1">
      <c r="A55" s="14"/>
    </row>
    <row r="56" ht="14.25" customHeight="1">
      <c r="A56" s="14"/>
    </row>
    <row r="57" ht="14.25" customHeight="1">
      <c r="A57" s="14"/>
    </row>
    <row r="58" ht="14.25" customHeight="1">
      <c r="A58" s="14"/>
    </row>
    <row r="59" ht="14.25" customHeight="1">
      <c r="A59" s="14"/>
    </row>
    <row r="60" ht="14.25" customHeight="1">
      <c r="A60" s="14"/>
    </row>
    <row r="61" ht="14.25" customHeight="1">
      <c r="A61" s="14"/>
    </row>
    <row r="62" ht="14.25" customHeight="1">
      <c r="A62" s="14"/>
    </row>
    <row r="63" ht="14.25" customHeight="1">
      <c r="A63" s="14"/>
    </row>
    <row r="64" ht="14.25" customHeight="1">
      <c r="A64" s="14"/>
    </row>
    <row r="65" ht="14.25" customHeight="1">
      <c r="A65" s="14"/>
    </row>
    <row r="66" ht="14.25" customHeight="1">
      <c r="A66" s="14"/>
    </row>
    <row r="67" ht="14.25" customHeight="1">
      <c r="A67" s="14"/>
    </row>
    <row r="68" ht="14.25" customHeight="1">
      <c r="A68" s="14"/>
    </row>
    <row r="69" ht="14.25" customHeight="1">
      <c r="A69" s="14"/>
    </row>
    <row r="70" ht="14.25" customHeight="1">
      <c r="A70" s="14"/>
    </row>
    <row r="71" ht="14.25" customHeight="1">
      <c r="A71" s="14"/>
    </row>
    <row r="72" ht="14.25" customHeight="1">
      <c r="A72" s="14"/>
    </row>
    <row r="73" ht="14.25" customHeight="1">
      <c r="A73" s="14"/>
    </row>
    <row r="74" ht="14.25" customHeight="1">
      <c r="A74" s="14"/>
    </row>
    <row r="75" ht="14.25" customHeight="1">
      <c r="A75" s="14"/>
    </row>
    <row r="76" ht="14.25" customHeight="1">
      <c r="A76" s="14"/>
    </row>
    <row r="77" ht="14.25" customHeight="1">
      <c r="A77" s="14"/>
    </row>
    <row r="78" ht="14.25" customHeight="1">
      <c r="A78" s="14"/>
    </row>
    <row r="79" ht="14.25" customHeight="1">
      <c r="A79" s="14"/>
    </row>
    <row r="80" ht="14.25" customHeight="1">
      <c r="A80" s="14"/>
    </row>
    <row r="81" ht="14.25" customHeight="1">
      <c r="A81" s="14"/>
    </row>
    <row r="82" ht="14.25" customHeight="1">
      <c r="A82" s="14"/>
    </row>
    <row r="83" ht="14.25" customHeight="1">
      <c r="A83" s="14"/>
    </row>
    <row r="84" ht="14.25" customHeight="1">
      <c r="A84" s="14"/>
    </row>
    <row r="85" ht="14.25" customHeight="1">
      <c r="A85" s="14"/>
    </row>
    <row r="86" ht="14.25" customHeight="1">
      <c r="A86" s="14"/>
    </row>
    <row r="87" ht="14.25" customHeight="1">
      <c r="A87" s="14"/>
    </row>
    <row r="88" ht="14.25" customHeight="1">
      <c r="A88" s="14"/>
    </row>
    <row r="89" ht="14.25" customHeight="1">
      <c r="A89" s="14"/>
    </row>
    <row r="90" ht="14.25" customHeight="1">
      <c r="A90" s="14"/>
    </row>
    <row r="91" ht="14.25" customHeight="1">
      <c r="A91" s="14"/>
    </row>
    <row r="92" ht="14.25" customHeight="1">
      <c r="A92" s="14"/>
    </row>
    <row r="93" ht="14.25" customHeight="1">
      <c r="A93" s="14"/>
    </row>
    <row r="94" ht="14.25" customHeight="1">
      <c r="A94" s="14"/>
    </row>
    <row r="95" ht="14.25" customHeight="1">
      <c r="A95" s="14"/>
    </row>
    <row r="96" ht="14.25" customHeight="1">
      <c r="A96" s="14"/>
    </row>
    <row r="97" ht="14.25" customHeight="1">
      <c r="A97" s="14"/>
    </row>
    <row r="98" ht="14.25" customHeight="1">
      <c r="A98" s="14"/>
    </row>
    <row r="99" ht="14.25" customHeight="1">
      <c r="A99" s="14"/>
    </row>
    <row r="100" ht="14.25" customHeight="1">
      <c r="A100" s="14"/>
    </row>
    <row r="101" ht="14.25" customHeight="1">
      <c r="A101" s="14"/>
    </row>
    <row r="102" ht="14.25" customHeight="1">
      <c r="A102" s="14"/>
    </row>
    <row r="103" ht="14.25" customHeight="1">
      <c r="A103" s="14"/>
    </row>
    <row r="104" ht="14.25" customHeight="1">
      <c r="A104" s="14"/>
    </row>
    <row r="105" ht="14.25" customHeight="1">
      <c r="A105" s="14"/>
    </row>
    <row r="106" ht="14.25" customHeight="1">
      <c r="A106" s="14"/>
    </row>
    <row r="107" ht="14.25" customHeight="1">
      <c r="A107" s="14"/>
    </row>
    <row r="108" ht="14.25" customHeight="1">
      <c r="A108" s="14"/>
    </row>
    <row r="109" ht="14.25" customHeight="1">
      <c r="A109" s="14"/>
    </row>
    <row r="110" ht="14.25" customHeight="1">
      <c r="A110" s="14"/>
    </row>
    <row r="111" ht="14.25" customHeight="1">
      <c r="A111" s="14"/>
    </row>
    <row r="112" ht="14.25" customHeight="1">
      <c r="A112" s="14"/>
    </row>
    <row r="113" ht="14.25" customHeight="1">
      <c r="A113" s="14"/>
    </row>
    <row r="114" ht="14.25" customHeight="1">
      <c r="A114" s="14"/>
    </row>
    <row r="115" ht="14.25" customHeight="1">
      <c r="A115" s="14"/>
    </row>
    <row r="116" ht="14.25" customHeight="1">
      <c r="A116" s="14"/>
    </row>
    <row r="117" ht="14.25" customHeight="1">
      <c r="A117" s="14"/>
    </row>
    <row r="118" ht="14.25" customHeight="1">
      <c r="A118" s="14"/>
    </row>
    <row r="119" ht="14.25" customHeight="1">
      <c r="A119" s="14"/>
    </row>
    <row r="120" ht="14.25" customHeight="1">
      <c r="A120" s="14"/>
    </row>
    <row r="121" ht="14.25" customHeight="1">
      <c r="A121" s="14"/>
    </row>
    <row r="122" ht="14.25" customHeight="1">
      <c r="A122" s="14"/>
    </row>
    <row r="123" ht="14.25" customHeight="1">
      <c r="A123" s="14"/>
    </row>
    <row r="124" ht="14.25" customHeight="1">
      <c r="A124" s="14"/>
    </row>
    <row r="125" ht="14.25" customHeight="1">
      <c r="A125" s="14"/>
    </row>
    <row r="126" ht="14.25" customHeight="1">
      <c r="A126" s="14"/>
    </row>
    <row r="127" ht="14.25" customHeight="1">
      <c r="A127" s="14"/>
    </row>
    <row r="128" ht="14.25" customHeight="1">
      <c r="A128" s="14"/>
    </row>
    <row r="129" ht="14.25" customHeight="1">
      <c r="A129" s="14"/>
    </row>
    <row r="130" ht="14.25" customHeight="1">
      <c r="A130" s="14"/>
    </row>
    <row r="131" ht="14.25" customHeight="1">
      <c r="A131" s="14"/>
    </row>
    <row r="132" ht="14.25" customHeight="1">
      <c r="A132" s="14"/>
    </row>
    <row r="133" ht="14.25" customHeight="1">
      <c r="A133" s="14"/>
    </row>
    <row r="134" ht="14.25" customHeight="1">
      <c r="A134" s="14"/>
    </row>
    <row r="135" ht="14.25" customHeight="1">
      <c r="A135" s="14"/>
    </row>
    <row r="136" ht="14.25" customHeight="1">
      <c r="A136" s="14"/>
    </row>
    <row r="137" ht="14.25" customHeight="1">
      <c r="A137" s="14"/>
    </row>
    <row r="138" ht="14.25" customHeight="1">
      <c r="A138" s="14"/>
    </row>
    <row r="139" ht="14.25" customHeight="1">
      <c r="A139" s="14"/>
    </row>
    <row r="140" ht="14.25" customHeight="1">
      <c r="A140" s="14"/>
    </row>
    <row r="141" ht="14.25" customHeight="1">
      <c r="A141" s="14"/>
    </row>
    <row r="142" ht="14.25" customHeight="1">
      <c r="A142" s="14"/>
    </row>
    <row r="143" ht="14.25" customHeight="1">
      <c r="A143" s="14"/>
    </row>
    <row r="144" ht="14.25" customHeight="1">
      <c r="A144" s="14"/>
    </row>
    <row r="145" ht="14.25" customHeight="1">
      <c r="A145" s="14"/>
    </row>
    <row r="146" ht="14.25" customHeight="1">
      <c r="A146" s="14"/>
    </row>
    <row r="147" ht="14.25" customHeight="1">
      <c r="A147" s="14"/>
    </row>
    <row r="148" ht="14.25" customHeight="1">
      <c r="A148" s="14"/>
    </row>
    <row r="149" ht="14.25" customHeight="1">
      <c r="A149" s="14"/>
    </row>
    <row r="150" ht="14.25" customHeight="1">
      <c r="A150" s="14"/>
    </row>
    <row r="151" ht="14.25" customHeight="1">
      <c r="A151" s="14"/>
    </row>
    <row r="152" ht="14.25" customHeight="1">
      <c r="A152" s="14"/>
    </row>
    <row r="153" ht="14.25" customHeight="1">
      <c r="A153" s="14"/>
    </row>
    <row r="154" ht="14.25" customHeight="1">
      <c r="A154" s="14"/>
    </row>
    <row r="155" ht="14.25" customHeight="1">
      <c r="A155" s="14"/>
    </row>
    <row r="156" ht="14.25" customHeight="1">
      <c r="A156" s="14"/>
    </row>
    <row r="157" ht="14.25" customHeight="1">
      <c r="A157" s="14"/>
    </row>
    <row r="158" ht="14.25" customHeight="1">
      <c r="A158" s="14"/>
    </row>
    <row r="159" ht="14.25" customHeight="1">
      <c r="A159" s="14"/>
    </row>
    <row r="160" ht="14.25" customHeight="1">
      <c r="A160" s="14"/>
    </row>
    <row r="161" ht="14.25" customHeight="1">
      <c r="A161" s="14"/>
    </row>
    <row r="162" ht="14.25" customHeight="1">
      <c r="A162" s="14"/>
    </row>
    <row r="163" ht="14.25" customHeight="1">
      <c r="A163" s="14"/>
    </row>
    <row r="164" ht="14.25" customHeight="1">
      <c r="A164" s="14"/>
    </row>
    <row r="165" ht="14.25" customHeight="1">
      <c r="A165" s="14"/>
    </row>
    <row r="166" ht="14.25" customHeight="1">
      <c r="A166" s="14"/>
    </row>
    <row r="167" ht="14.25" customHeight="1">
      <c r="A167" s="14"/>
    </row>
    <row r="168" ht="14.25" customHeight="1">
      <c r="A168" s="14"/>
    </row>
    <row r="169" ht="14.25" customHeight="1">
      <c r="A169" s="14"/>
    </row>
    <row r="170" ht="14.25" customHeight="1">
      <c r="A170" s="14"/>
    </row>
    <row r="171" ht="14.25" customHeight="1">
      <c r="A171" s="14"/>
    </row>
    <row r="172" ht="14.25" customHeight="1">
      <c r="A172" s="14"/>
    </row>
    <row r="173" ht="14.25" customHeight="1">
      <c r="A173" s="14"/>
    </row>
    <row r="174" ht="14.25" customHeight="1">
      <c r="A174" s="14"/>
    </row>
    <row r="175" ht="14.25" customHeight="1">
      <c r="A175" s="14"/>
    </row>
    <row r="176" ht="14.25" customHeight="1">
      <c r="A176" s="14"/>
    </row>
    <row r="177" ht="14.25" customHeight="1">
      <c r="A177" s="14"/>
    </row>
    <row r="178" ht="14.25" customHeight="1">
      <c r="A178" s="14"/>
    </row>
    <row r="179" ht="14.25" customHeight="1">
      <c r="A179" s="14"/>
    </row>
    <row r="180" ht="14.25" customHeight="1">
      <c r="A180" s="14"/>
    </row>
    <row r="181" ht="14.25" customHeight="1">
      <c r="A181" s="14"/>
    </row>
    <row r="182" ht="14.25" customHeight="1">
      <c r="A182" s="14"/>
    </row>
    <row r="183" ht="14.25" customHeight="1">
      <c r="A183" s="14"/>
    </row>
    <row r="184" ht="14.25" customHeight="1">
      <c r="A184" s="14"/>
    </row>
    <row r="185" ht="14.25" customHeight="1">
      <c r="A185" s="14"/>
    </row>
    <row r="186" ht="14.25" customHeight="1">
      <c r="A186" s="14"/>
    </row>
    <row r="187" ht="14.25" customHeight="1">
      <c r="A187" s="14"/>
    </row>
    <row r="188" ht="14.25" customHeight="1">
      <c r="A188" s="14"/>
    </row>
    <row r="189" ht="14.25" customHeight="1">
      <c r="A189" s="14"/>
    </row>
    <row r="190" ht="14.25" customHeight="1">
      <c r="A190" s="14"/>
    </row>
    <row r="191" ht="14.25" customHeight="1">
      <c r="A191" s="14"/>
    </row>
    <row r="192" ht="14.25" customHeight="1">
      <c r="A192" s="14"/>
    </row>
    <row r="193" ht="14.25" customHeight="1">
      <c r="A193" s="14"/>
    </row>
    <row r="194" ht="14.25" customHeight="1">
      <c r="A194" s="14"/>
    </row>
    <row r="195" ht="14.25" customHeight="1">
      <c r="A195" s="14"/>
    </row>
    <row r="196" ht="14.25" customHeight="1">
      <c r="A196" s="14"/>
    </row>
    <row r="197" ht="14.25" customHeight="1">
      <c r="A197" s="14"/>
    </row>
    <row r="198" ht="14.25" customHeight="1">
      <c r="A198" s="14"/>
    </row>
    <row r="199" ht="14.25" customHeight="1">
      <c r="A199" s="14"/>
    </row>
    <row r="200" ht="14.25" customHeight="1">
      <c r="A200" s="14"/>
    </row>
    <row r="201" ht="14.25" customHeight="1">
      <c r="A201" s="14"/>
    </row>
    <row r="202" ht="14.25" customHeight="1">
      <c r="A202" s="14"/>
    </row>
    <row r="203" ht="14.25" customHeight="1">
      <c r="A203" s="14"/>
    </row>
    <row r="204" ht="14.25" customHeight="1">
      <c r="A204" s="14"/>
    </row>
    <row r="205" ht="14.25" customHeight="1">
      <c r="A205" s="14"/>
    </row>
    <row r="206" ht="14.25" customHeight="1">
      <c r="A206" s="14"/>
    </row>
    <row r="207" ht="14.25" customHeight="1">
      <c r="A207" s="14"/>
    </row>
    <row r="208" ht="14.25" customHeight="1">
      <c r="A208" s="14"/>
    </row>
    <row r="209" ht="14.25" customHeight="1">
      <c r="A209" s="14"/>
    </row>
    <row r="210" ht="14.25" customHeight="1">
      <c r="A210" s="14"/>
    </row>
    <row r="211" ht="14.25" customHeight="1">
      <c r="A211" s="14"/>
    </row>
    <row r="212" ht="14.25" customHeight="1">
      <c r="A212" s="14"/>
    </row>
    <row r="213" ht="14.25" customHeight="1">
      <c r="A213" s="14"/>
    </row>
    <row r="214" ht="14.25" customHeight="1">
      <c r="A214" s="14"/>
    </row>
    <row r="215" ht="14.25" customHeight="1">
      <c r="A215" s="14"/>
    </row>
    <row r="216" ht="14.25" customHeight="1">
      <c r="A216" s="14"/>
    </row>
    <row r="217" ht="14.25" customHeight="1">
      <c r="A217" s="14"/>
    </row>
    <row r="218" ht="14.25" customHeight="1">
      <c r="A218" s="14"/>
    </row>
    <row r="219" ht="14.25" customHeight="1">
      <c r="A219" s="14"/>
    </row>
    <row r="220" ht="14.25" customHeight="1">
      <c r="A220" s="14"/>
    </row>
    <row r="221" ht="14.25" customHeight="1">
      <c r="A221" s="14"/>
    </row>
    <row r="222" ht="14.25" customHeight="1">
      <c r="A222" s="14"/>
    </row>
    <row r="223" ht="14.25" customHeight="1">
      <c r="A223" s="14"/>
    </row>
    <row r="224" ht="14.25" customHeight="1">
      <c r="A224" s="14"/>
    </row>
    <row r="225" ht="14.25" customHeight="1">
      <c r="A225" s="14"/>
    </row>
    <row r="226" ht="14.25" customHeight="1">
      <c r="A226" s="14"/>
    </row>
    <row r="227" ht="14.25" customHeight="1">
      <c r="A227" s="14"/>
    </row>
    <row r="228" ht="14.25" customHeight="1">
      <c r="A228" s="14"/>
    </row>
    <row r="229" ht="14.25" customHeight="1">
      <c r="A229" s="14"/>
    </row>
    <row r="230" ht="14.25" customHeight="1">
      <c r="A230" s="14"/>
    </row>
    <row r="231" ht="14.25" customHeight="1">
      <c r="A231" s="14"/>
    </row>
    <row r="232" ht="14.25" customHeight="1">
      <c r="A232" s="14"/>
    </row>
    <row r="233" ht="14.25" customHeight="1">
      <c r="A233" s="14"/>
    </row>
    <row r="234" ht="14.25" customHeight="1">
      <c r="A234" s="14"/>
    </row>
    <row r="235" ht="14.25" customHeight="1">
      <c r="A235" s="14"/>
    </row>
    <row r="236" ht="14.25" customHeight="1">
      <c r="A236" s="14"/>
    </row>
    <row r="237" ht="14.25" customHeight="1">
      <c r="A237" s="14"/>
    </row>
    <row r="238" ht="14.25" customHeight="1">
      <c r="A238" s="14"/>
    </row>
    <row r="239" ht="14.25" customHeight="1">
      <c r="A239" s="14"/>
    </row>
    <row r="240" ht="14.25" customHeight="1">
      <c r="A240" s="14"/>
    </row>
    <row r="241" ht="14.25" customHeight="1">
      <c r="A241" s="14"/>
    </row>
    <row r="242" ht="14.25" customHeight="1">
      <c r="A242" s="14"/>
    </row>
    <row r="243" ht="14.25" customHeight="1">
      <c r="A243" s="14"/>
    </row>
    <row r="244" ht="14.25" customHeight="1">
      <c r="A244" s="14"/>
    </row>
    <row r="245" ht="14.25" customHeight="1">
      <c r="A245" s="14"/>
    </row>
    <row r="246" ht="14.25" customHeight="1">
      <c r="A246" s="14"/>
    </row>
    <row r="247" ht="14.25" customHeight="1">
      <c r="A247" s="14"/>
    </row>
    <row r="248" ht="14.25" customHeight="1">
      <c r="A248" s="14"/>
    </row>
    <row r="249" ht="14.25" customHeight="1">
      <c r="A249" s="14"/>
    </row>
    <row r="250" ht="14.25" customHeight="1">
      <c r="A250" s="14"/>
    </row>
    <row r="251" ht="14.25" customHeight="1">
      <c r="A251" s="14"/>
    </row>
    <row r="252" ht="14.25" customHeight="1">
      <c r="A252" s="14"/>
    </row>
    <row r="253" ht="14.25" customHeight="1">
      <c r="A253" s="14"/>
    </row>
    <row r="254" ht="14.25" customHeight="1">
      <c r="A254" s="14"/>
    </row>
    <row r="255" ht="14.25" customHeight="1">
      <c r="A255" s="14"/>
    </row>
    <row r="256" ht="14.25" customHeight="1">
      <c r="A256" s="14"/>
    </row>
    <row r="257" ht="14.25" customHeight="1">
      <c r="A257" s="14"/>
    </row>
    <row r="258" ht="14.25" customHeight="1">
      <c r="A258" s="14"/>
    </row>
    <row r="259" ht="14.25" customHeight="1">
      <c r="A259" s="14"/>
    </row>
    <row r="260" ht="14.25" customHeight="1">
      <c r="A260" s="14"/>
    </row>
    <row r="261" ht="14.25" customHeight="1">
      <c r="A261" s="14"/>
    </row>
    <row r="262" ht="14.25" customHeight="1">
      <c r="A262" s="14"/>
    </row>
    <row r="263" ht="14.25" customHeight="1">
      <c r="A263" s="14"/>
    </row>
    <row r="264" ht="14.25" customHeight="1">
      <c r="A264" s="14"/>
    </row>
    <row r="265" ht="14.25" customHeight="1">
      <c r="A265" s="14"/>
    </row>
    <row r="266" ht="14.25" customHeight="1">
      <c r="A266" s="14"/>
    </row>
    <row r="267" ht="14.25" customHeight="1">
      <c r="A267" s="14"/>
    </row>
    <row r="268" ht="14.25" customHeight="1">
      <c r="A268" s="14"/>
    </row>
    <row r="269" ht="14.25" customHeight="1">
      <c r="A269" s="14"/>
    </row>
    <row r="270" ht="14.25" customHeight="1">
      <c r="A270" s="14"/>
    </row>
    <row r="271" ht="14.25" customHeight="1">
      <c r="A271" s="14"/>
    </row>
    <row r="272" ht="14.25" customHeight="1">
      <c r="A272" s="14"/>
    </row>
    <row r="273" ht="14.25" customHeight="1">
      <c r="A273" s="14"/>
    </row>
    <row r="274" ht="14.25" customHeight="1">
      <c r="A274" s="14"/>
    </row>
    <row r="275" ht="14.25" customHeight="1">
      <c r="A275" s="14"/>
    </row>
    <row r="276" ht="14.25" customHeight="1">
      <c r="A276" s="14"/>
    </row>
    <row r="277" ht="14.25" customHeight="1">
      <c r="A277" s="14"/>
    </row>
    <row r="278" ht="14.25" customHeight="1">
      <c r="A278" s="14"/>
    </row>
    <row r="279" ht="14.25" customHeight="1">
      <c r="A279" s="14"/>
    </row>
    <row r="280" ht="14.25" customHeight="1">
      <c r="A280" s="14"/>
    </row>
    <row r="281" ht="14.25" customHeight="1">
      <c r="A281" s="14"/>
    </row>
    <row r="282" ht="14.25" customHeight="1">
      <c r="A282" s="14"/>
    </row>
    <row r="283" ht="14.25" customHeight="1">
      <c r="A283" s="14"/>
    </row>
    <row r="284" ht="14.25" customHeight="1">
      <c r="A284" s="14"/>
    </row>
    <row r="285" ht="14.25" customHeight="1">
      <c r="A285" s="14"/>
    </row>
    <row r="286" ht="14.25" customHeight="1">
      <c r="A286" s="14"/>
    </row>
    <row r="287" ht="14.25" customHeight="1">
      <c r="A287" s="14"/>
    </row>
    <row r="288" ht="14.25" customHeight="1">
      <c r="A288" s="14"/>
    </row>
    <row r="289" ht="14.25" customHeight="1">
      <c r="A289" s="14"/>
    </row>
    <row r="290" ht="14.25" customHeight="1">
      <c r="A290" s="14"/>
    </row>
    <row r="291" ht="14.25" customHeight="1">
      <c r="A291" s="14"/>
    </row>
    <row r="292" ht="14.25" customHeight="1">
      <c r="A292" s="14"/>
    </row>
    <row r="293" ht="14.25" customHeight="1">
      <c r="A293" s="14"/>
    </row>
    <row r="294" ht="14.25" customHeight="1">
      <c r="A294" s="14"/>
    </row>
    <row r="295" ht="14.25" customHeight="1">
      <c r="A295" s="14"/>
    </row>
    <row r="296" ht="14.25" customHeight="1">
      <c r="A296" s="14"/>
    </row>
    <row r="297" ht="14.25" customHeight="1">
      <c r="A297" s="14"/>
    </row>
    <row r="298" ht="14.25" customHeight="1">
      <c r="A298" s="14"/>
    </row>
    <row r="299" ht="14.25" customHeight="1">
      <c r="A299" s="14"/>
    </row>
    <row r="300" ht="14.25" customHeight="1">
      <c r="A300" s="14"/>
    </row>
    <row r="301" ht="14.25" customHeight="1">
      <c r="A301" s="14"/>
    </row>
    <row r="302" ht="14.25" customHeight="1">
      <c r="A302" s="14"/>
    </row>
    <row r="303" ht="14.25" customHeight="1">
      <c r="A303" s="14"/>
    </row>
    <row r="304" ht="14.25" customHeight="1">
      <c r="A304" s="14"/>
    </row>
    <row r="305" ht="14.25" customHeight="1">
      <c r="A305" s="14"/>
    </row>
    <row r="306" ht="14.25" customHeight="1">
      <c r="A306" s="14"/>
    </row>
    <row r="307" ht="14.25" customHeight="1">
      <c r="A307" s="14"/>
    </row>
    <row r="308" ht="14.25" customHeight="1">
      <c r="A308" s="14"/>
    </row>
    <row r="309" ht="14.25" customHeight="1">
      <c r="A309" s="14"/>
    </row>
    <row r="310" ht="14.25" customHeight="1">
      <c r="A310" s="14"/>
    </row>
    <row r="311" ht="14.25" customHeight="1">
      <c r="A311" s="14"/>
    </row>
    <row r="312" ht="14.25" customHeight="1">
      <c r="A312" s="14"/>
    </row>
    <row r="313" ht="14.25" customHeight="1">
      <c r="A313" s="14"/>
    </row>
    <row r="314" ht="14.25" customHeight="1">
      <c r="A314" s="14"/>
    </row>
    <row r="315" ht="14.25" customHeight="1">
      <c r="A315" s="14"/>
    </row>
    <row r="316" ht="14.25" customHeight="1">
      <c r="A316" s="14"/>
    </row>
    <row r="317" ht="14.25" customHeight="1">
      <c r="A317" s="14"/>
    </row>
    <row r="318" ht="14.25" customHeight="1">
      <c r="A318" s="14"/>
    </row>
    <row r="319" ht="14.25" customHeight="1">
      <c r="A319" s="14"/>
    </row>
    <row r="320" ht="14.25" customHeight="1">
      <c r="A320" s="14"/>
    </row>
    <row r="321" ht="14.25" customHeight="1">
      <c r="A321" s="14"/>
    </row>
    <row r="322" ht="14.25" customHeight="1">
      <c r="A322" s="14"/>
    </row>
    <row r="323" ht="14.25" customHeight="1">
      <c r="A323" s="14"/>
    </row>
    <row r="324" ht="14.25" customHeight="1">
      <c r="A324" s="14"/>
    </row>
    <row r="325" ht="14.25" customHeight="1">
      <c r="A325" s="14"/>
    </row>
    <row r="326" ht="14.25" customHeight="1">
      <c r="A326" s="14"/>
    </row>
    <row r="327" ht="14.25" customHeight="1">
      <c r="A327" s="14"/>
    </row>
    <row r="328" ht="14.25" customHeight="1">
      <c r="A328" s="14"/>
    </row>
    <row r="329" ht="14.25" customHeight="1">
      <c r="A329" s="14"/>
    </row>
    <row r="330" ht="14.25" customHeight="1">
      <c r="A330" s="14"/>
    </row>
    <row r="331" ht="14.25" customHeight="1">
      <c r="A331" s="14"/>
    </row>
    <row r="332" ht="14.25" customHeight="1">
      <c r="A332" s="14"/>
    </row>
    <row r="333" ht="14.25" customHeight="1">
      <c r="A333" s="14"/>
    </row>
    <row r="334" ht="14.25" customHeight="1">
      <c r="A334" s="14"/>
    </row>
    <row r="335" ht="14.25" customHeight="1">
      <c r="A335" s="14"/>
    </row>
    <row r="336" ht="14.25" customHeight="1">
      <c r="A336" s="14"/>
    </row>
    <row r="337" ht="14.25" customHeight="1">
      <c r="A337" s="14"/>
    </row>
    <row r="338" ht="14.25" customHeight="1">
      <c r="A338" s="14"/>
    </row>
    <row r="339" ht="14.25" customHeight="1">
      <c r="A339" s="14"/>
    </row>
    <row r="340" ht="14.25" customHeight="1">
      <c r="A340" s="14"/>
    </row>
    <row r="341" ht="14.25" customHeight="1">
      <c r="A341" s="14"/>
    </row>
    <row r="342" ht="14.25" customHeight="1">
      <c r="A342" s="14"/>
    </row>
    <row r="343" ht="14.25" customHeight="1">
      <c r="A343" s="14"/>
    </row>
    <row r="344" ht="14.25" customHeight="1">
      <c r="A344" s="14"/>
    </row>
    <row r="345" ht="14.25" customHeight="1">
      <c r="A345" s="14"/>
    </row>
    <row r="346" ht="14.25" customHeight="1">
      <c r="A346" s="14"/>
    </row>
    <row r="347" ht="14.25" customHeight="1">
      <c r="A347" s="14"/>
    </row>
    <row r="348" ht="14.25" customHeight="1">
      <c r="A348" s="14"/>
    </row>
    <row r="349" ht="14.25" customHeight="1">
      <c r="A349" s="14"/>
    </row>
    <row r="350" ht="14.25" customHeight="1">
      <c r="A350" s="14"/>
    </row>
    <row r="351" ht="14.25" customHeight="1">
      <c r="A351" s="14"/>
    </row>
    <row r="352" ht="14.25" customHeight="1">
      <c r="A352" s="14"/>
    </row>
    <row r="353" ht="14.25" customHeight="1">
      <c r="A353" s="14"/>
    </row>
    <row r="354" ht="14.25" customHeight="1">
      <c r="A354" s="14"/>
    </row>
    <row r="355" ht="14.25" customHeight="1">
      <c r="A355" s="14"/>
    </row>
    <row r="356" ht="14.25" customHeight="1">
      <c r="A356" s="14"/>
    </row>
    <row r="357" ht="14.25" customHeight="1">
      <c r="A357" s="14"/>
    </row>
    <row r="358" ht="14.25" customHeight="1">
      <c r="A358" s="14"/>
    </row>
    <row r="359" ht="14.25" customHeight="1">
      <c r="A359" s="14"/>
    </row>
    <row r="360" ht="14.25" customHeight="1">
      <c r="A360" s="14"/>
    </row>
    <row r="361" ht="14.25" customHeight="1">
      <c r="A361" s="14"/>
    </row>
    <row r="362" ht="14.25" customHeight="1">
      <c r="A362" s="14"/>
    </row>
    <row r="363" ht="14.25" customHeight="1">
      <c r="A363" s="14"/>
    </row>
    <row r="364" ht="14.25" customHeight="1">
      <c r="A364" s="14"/>
    </row>
    <row r="365" ht="14.25" customHeight="1">
      <c r="A365" s="14"/>
    </row>
    <row r="366" ht="14.25" customHeight="1">
      <c r="A366" s="14"/>
    </row>
    <row r="367" ht="14.25" customHeight="1">
      <c r="A367" s="14"/>
    </row>
    <row r="368" ht="14.25" customHeight="1">
      <c r="A368" s="14"/>
    </row>
    <row r="369" ht="14.25" customHeight="1">
      <c r="A369" s="14"/>
    </row>
    <row r="370" ht="14.25" customHeight="1">
      <c r="A370" s="14"/>
    </row>
    <row r="371" ht="14.25" customHeight="1">
      <c r="A371" s="14"/>
    </row>
    <row r="372" ht="14.25" customHeight="1">
      <c r="A372" s="14"/>
    </row>
    <row r="373" ht="14.25" customHeight="1">
      <c r="A373" s="14"/>
    </row>
    <row r="374" ht="14.25" customHeight="1">
      <c r="A374" s="14"/>
    </row>
    <row r="375" ht="14.25" customHeight="1">
      <c r="A375" s="14"/>
    </row>
    <row r="376" ht="14.25" customHeight="1">
      <c r="A376" s="14"/>
    </row>
    <row r="377" ht="14.25" customHeight="1">
      <c r="A377" s="14"/>
    </row>
    <row r="378" ht="14.25" customHeight="1">
      <c r="A378" s="14"/>
    </row>
    <row r="379" ht="14.25" customHeight="1">
      <c r="A379" s="14"/>
    </row>
    <row r="380" ht="14.25" customHeight="1">
      <c r="A380" s="14"/>
    </row>
    <row r="381" ht="14.25" customHeight="1">
      <c r="A381" s="14"/>
    </row>
    <row r="382" ht="14.25" customHeight="1">
      <c r="A382" s="14"/>
    </row>
    <row r="383" ht="14.25" customHeight="1">
      <c r="A383" s="14"/>
    </row>
    <row r="384" ht="14.25" customHeight="1">
      <c r="A384" s="14"/>
    </row>
    <row r="385" ht="14.25" customHeight="1">
      <c r="A385" s="14"/>
    </row>
    <row r="386" ht="14.25" customHeight="1">
      <c r="A386" s="14"/>
    </row>
    <row r="387" ht="14.25" customHeight="1">
      <c r="A387" s="14"/>
    </row>
    <row r="388" ht="14.25" customHeight="1">
      <c r="A388" s="14"/>
    </row>
    <row r="389" ht="14.25" customHeight="1">
      <c r="A389" s="14"/>
    </row>
    <row r="390" ht="14.25" customHeight="1">
      <c r="A390" s="14"/>
    </row>
    <row r="391" ht="14.25" customHeight="1">
      <c r="A391" s="14"/>
    </row>
    <row r="392" ht="14.25" customHeight="1">
      <c r="A392" s="14"/>
    </row>
    <row r="393" ht="14.25" customHeight="1">
      <c r="A393" s="14"/>
    </row>
    <row r="394" ht="14.25" customHeight="1">
      <c r="A394" s="14"/>
    </row>
    <row r="395" ht="14.25" customHeight="1">
      <c r="A395" s="14"/>
    </row>
    <row r="396" ht="14.25" customHeight="1">
      <c r="A396" s="14"/>
    </row>
    <row r="397" ht="14.25" customHeight="1">
      <c r="A397" s="14"/>
    </row>
    <row r="398" ht="14.25" customHeight="1">
      <c r="A398" s="14"/>
    </row>
    <row r="399" ht="14.25" customHeight="1">
      <c r="A399" s="14"/>
    </row>
    <row r="400" ht="14.25" customHeight="1">
      <c r="A400" s="14"/>
    </row>
    <row r="401" ht="14.25" customHeight="1">
      <c r="A401" s="14"/>
    </row>
    <row r="402" ht="14.25" customHeight="1">
      <c r="A402" s="14"/>
    </row>
    <row r="403" ht="14.25" customHeight="1">
      <c r="A403" s="14"/>
    </row>
    <row r="404" ht="14.25" customHeight="1">
      <c r="A404" s="14"/>
    </row>
    <row r="405" ht="14.25" customHeight="1">
      <c r="A405" s="14"/>
    </row>
    <row r="406" ht="14.25" customHeight="1">
      <c r="A406" s="14"/>
    </row>
    <row r="407" ht="14.25" customHeight="1">
      <c r="A407" s="14"/>
    </row>
    <row r="408" ht="14.25" customHeight="1">
      <c r="A408" s="14"/>
    </row>
    <row r="409" ht="14.25" customHeight="1">
      <c r="A409" s="14"/>
    </row>
    <row r="410" ht="14.25" customHeight="1">
      <c r="A410" s="14"/>
    </row>
    <row r="411" ht="14.25" customHeight="1">
      <c r="A411" s="14"/>
    </row>
    <row r="412" ht="14.25" customHeight="1">
      <c r="A412" s="14"/>
    </row>
    <row r="413" ht="14.25" customHeight="1">
      <c r="A413" s="14"/>
    </row>
    <row r="414" ht="14.25" customHeight="1">
      <c r="A414" s="14"/>
    </row>
    <row r="415" ht="14.25" customHeight="1">
      <c r="A415" s="14"/>
    </row>
    <row r="416" ht="14.25" customHeight="1">
      <c r="A416" s="14"/>
    </row>
    <row r="417" ht="14.25" customHeight="1">
      <c r="A417" s="14"/>
    </row>
    <row r="418" ht="14.25" customHeight="1">
      <c r="A418" s="14"/>
    </row>
    <row r="419" ht="14.25" customHeight="1">
      <c r="A419" s="14"/>
    </row>
    <row r="420" ht="14.25" customHeight="1">
      <c r="A420" s="14"/>
    </row>
    <row r="421" ht="14.25" customHeight="1">
      <c r="A421" s="14"/>
    </row>
    <row r="422" ht="14.25" customHeight="1">
      <c r="A422" s="14"/>
    </row>
    <row r="423" ht="14.25" customHeight="1">
      <c r="A423" s="14"/>
    </row>
    <row r="424" ht="14.25" customHeight="1">
      <c r="A424" s="14"/>
    </row>
    <row r="425" ht="14.25" customHeight="1">
      <c r="A425" s="14"/>
    </row>
    <row r="426" ht="14.25" customHeight="1">
      <c r="A426" s="14"/>
    </row>
    <row r="427" ht="14.25" customHeight="1">
      <c r="A427" s="14"/>
    </row>
    <row r="428" ht="14.25" customHeight="1">
      <c r="A428" s="14"/>
    </row>
    <row r="429" ht="14.25" customHeight="1">
      <c r="A429" s="14"/>
    </row>
    <row r="430" ht="14.25" customHeight="1">
      <c r="A430" s="14"/>
    </row>
    <row r="431" ht="14.25" customHeight="1">
      <c r="A431" s="14"/>
    </row>
    <row r="432" ht="14.25" customHeight="1">
      <c r="A432" s="14"/>
    </row>
    <row r="433" ht="14.25" customHeight="1">
      <c r="A433" s="14"/>
    </row>
    <row r="434" ht="14.25" customHeight="1">
      <c r="A434" s="14"/>
    </row>
    <row r="435" ht="14.25" customHeight="1">
      <c r="A435" s="14"/>
    </row>
    <row r="436" ht="14.25" customHeight="1">
      <c r="A436" s="14"/>
    </row>
    <row r="437" ht="14.25" customHeight="1">
      <c r="A437" s="14"/>
    </row>
    <row r="438" ht="14.25" customHeight="1">
      <c r="A438" s="14"/>
    </row>
    <row r="439" ht="14.25" customHeight="1">
      <c r="A439" s="14"/>
    </row>
    <row r="440" ht="14.25" customHeight="1">
      <c r="A440" s="14"/>
    </row>
    <row r="441" ht="14.25" customHeight="1">
      <c r="A441" s="14"/>
    </row>
    <row r="442" ht="14.25" customHeight="1">
      <c r="A442" s="14"/>
    </row>
    <row r="443" ht="14.25" customHeight="1">
      <c r="A443" s="14"/>
    </row>
    <row r="444" ht="14.25" customHeight="1">
      <c r="A444" s="14"/>
    </row>
    <row r="445" ht="14.25" customHeight="1">
      <c r="A445" s="14"/>
    </row>
    <row r="446" ht="14.25" customHeight="1">
      <c r="A446" s="14"/>
    </row>
    <row r="447" ht="14.25" customHeight="1">
      <c r="A447" s="14"/>
    </row>
    <row r="448" ht="14.25" customHeight="1">
      <c r="A448" s="14"/>
    </row>
    <row r="449" ht="14.25" customHeight="1">
      <c r="A449" s="14"/>
    </row>
    <row r="450" ht="14.25" customHeight="1">
      <c r="A450" s="14"/>
    </row>
    <row r="451" ht="14.25" customHeight="1">
      <c r="A451" s="14"/>
    </row>
    <row r="452" ht="14.25" customHeight="1">
      <c r="A452" s="14"/>
    </row>
    <row r="453" ht="14.25" customHeight="1">
      <c r="A453" s="14"/>
    </row>
    <row r="454" ht="14.25" customHeight="1">
      <c r="A454" s="14"/>
    </row>
    <row r="455" ht="14.25" customHeight="1">
      <c r="A455" s="14"/>
    </row>
    <row r="456" ht="14.25" customHeight="1">
      <c r="A456" s="14"/>
    </row>
    <row r="457" ht="14.25" customHeight="1">
      <c r="A457" s="14"/>
    </row>
    <row r="458" ht="14.25" customHeight="1">
      <c r="A458" s="14"/>
    </row>
    <row r="459" ht="14.25" customHeight="1">
      <c r="A459" s="14"/>
    </row>
    <row r="460" ht="14.25" customHeight="1">
      <c r="A460" s="14"/>
    </row>
    <row r="461" ht="14.25" customHeight="1">
      <c r="A461" s="14"/>
    </row>
    <row r="462" ht="14.25" customHeight="1">
      <c r="A462" s="14"/>
    </row>
    <row r="463" ht="14.25" customHeight="1">
      <c r="A463" s="14"/>
    </row>
    <row r="464" ht="14.25" customHeight="1">
      <c r="A464" s="14"/>
    </row>
    <row r="465" ht="14.25" customHeight="1">
      <c r="A465" s="14"/>
    </row>
    <row r="466" ht="14.25" customHeight="1">
      <c r="A466" s="14"/>
    </row>
    <row r="467" ht="14.25" customHeight="1">
      <c r="A467" s="14"/>
    </row>
    <row r="468" ht="14.25" customHeight="1">
      <c r="A468" s="14"/>
    </row>
    <row r="469" ht="14.25" customHeight="1">
      <c r="A469" s="14"/>
    </row>
    <row r="470" ht="14.25" customHeight="1">
      <c r="A470" s="14"/>
    </row>
    <row r="471" ht="14.25" customHeight="1">
      <c r="A471" s="14"/>
    </row>
    <row r="472" ht="14.25" customHeight="1">
      <c r="A472" s="14"/>
    </row>
    <row r="473" ht="14.25" customHeight="1">
      <c r="A473" s="14"/>
    </row>
    <row r="474" ht="14.25" customHeight="1">
      <c r="A474" s="14"/>
    </row>
    <row r="475" ht="14.25" customHeight="1">
      <c r="A475" s="14"/>
    </row>
    <row r="476" ht="14.25" customHeight="1">
      <c r="A476" s="14"/>
    </row>
    <row r="477" ht="14.25" customHeight="1">
      <c r="A477" s="14"/>
    </row>
    <row r="478" ht="14.25" customHeight="1">
      <c r="A478" s="14"/>
    </row>
    <row r="479" ht="14.25" customHeight="1">
      <c r="A479" s="14"/>
    </row>
    <row r="480" ht="14.25" customHeight="1">
      <c r="A480" s="14"/>
    </row>
    <row r="481" ht="14.25" customHeight="1">
      <c r="A481" s="14"/>
    </row>
    <row r="482" ht="14.25" customHeight="1">
      <c r="A482" s="14"/>
    </row>
    <row r="483" ht="14.25" customHeight="1">
      <c r="A483" s="14"/>
    </row>
    <row r="484" ht="14.25" customHeight="1">
      <c r="A484" s="14"/>
    </row>
    <row r="485" ht="14.25" customHeight="1">
      <c r="A485" s="14"/>
    </row>
    <row r="486" ht="14.25" customHeight="1">
      <c r="A486" s="14"/>
    </row>
    <row r="487" ht="14.25" customHeight="1">
      <c r="A487" s="14"/>
    </row>
    <row r="488" ht="14.25" customHeight="1">
      <c r="A488" s="14"/>
    </row>
    <row r="489" ht="14.25" customHeight="1">
      <c r="A489" s="14"/>
    </row>
    <row r="490" ht="14.25" customHeight="1">
      <c r="A490" s="14"/>
    </row>
    <row r="491" ht="14.25" customHeight="1">
      <c r="A491" s="14"/>
    </row>
    <row r="492" ht="14.25" customHeight="1">
      <c r="A492" s="14"/>
    </row>
    <row r="493" ht="14.25" customHeight="1">
      <c r="A493" s="14"/>
    </row>
    <row r="494" ht="14.25" customHeight="1">
      <c r="A494" s="14"/>
    </row>
    <row r="495" ht="14.25" customHeight="1">
      <c r="A495" s="14"/>
    </row>
    <row r="496" ht="14.25" customHeight="1">
      <c r="A496" s="14"/>
    </row>
    <row r="497" ht="14.25" customHeight="1">
      <c r="A497" s="14"/>
    </row>
    <row r="498" ht="14.25" customHeight="1">
      <c r="A498" s="14"/>
    </row>
    <row r="499" ht="14.25" customHeight="1">
      <c r="A499" s="14"/>
    </row>
    <row r="500" ht="14.25" customHeight="1">
      <c r="A500" s="14"/>
    </row>
    <row r="501" ht="14.25" customHeight="1">
      <c r="A501" s="14"/>
    </row>
    <row r="502" ht="14.25" customHeight="1">
      <c r="A502" s="14"/>
    </row>
    <row r="503" ht="14.25" customHeight="1">
      <c r="A503" s="14"/>
    </row>
    <row r="504" ht="14.25" customHeight="1">
      <c r="A504" s="14"/>
    </row>
    <row r="505" ht="14.25" customHeight="1">
      <c r="A505" s="14"/>
    </row>
    <row r="506" ht="14.25" customHeight="1">
      <c r="A506" s="14"/>
    </row>
    <row r="507" ht="14.25" customHeight="1">
      <c r="A507" s="14"/>
    </row>
    <row r="508" ht="14.25" customHeight="1">
      <c r="A508" s="14"/>
    </row>
    <row r="509" ht="14.25" customHeight="1">
      <c r="A509" s="14"/>
    </row>
    <row r="510" ht="14.25" customHeight="1">
      <c r="A510" s="14"/>
    </row>
    <row r="511" ht="14.25" customHeight="1">
      <c r="A511" s="14"/>
    </row>
    <row r="512" ht="14.25" customHeight="1">
      <c r="A512" s="14"/>
    </row>
    <row r="513" ht="14.25" customHeight="1">
      <c r="A513" s="14"/>
    </row>
    <row r="514" ht="14.25" customHeight="1">
      <c r="A514" s="14"/>
    </row>
    <row r="515" ht="14.25" customHeight="1">
      <c r="A515" s="14"/>
    </row>
    <row r="516" ht="14.25" customHeight="1">
      <c r="A516" s="14"/>
    </row>
    <row r="517" ht="14.25" customHeight="1">
      <c r="A517" s="14"/>
    </row>
    <row r="518" ht="14.25" customHeight="1">
      <c r="A518" s="14"/>
    </row>
    <row r="519" ht="14.25" customHeight="1">
      <c r="A519" s="14"/>
    </row>
    <row r="520" ht="14.25" customHeight="1">
      <c r="A520" s="14"/>
    </row>
    <row r="521" ht="14.25" customHeight="1">
      <c r="A521" s="14"/>
    </row>
    <row r="522" ht="14.25" customHeight="1">
      <c r="A522" s="14"/>
    </row>
    <row r="523" ht="14.25" customHeight="1">
      <c r="A523" s="14"/>
    </row>
    <row r="524" ht="14.25" customHeight="1">
      <c r="A524" s="14"/>
    </row>
    <row r="525" ht="14.25" customHeight="1">
      <c r="A525" s="14"/>
    </row>
    <row r="526" ht="14.25" customHeight="1">
      <c r="A526" s="14"/>
    </row>
    <row r="527" ht="14.25" customHeight="1">
      <c r="A527" s="14"/>
    </row>
    <row r="528" ht="14.25" customHeight="1">
      <c r="A528" s="14"/>
    </row>
    <row r="529" ht="14.25" customHeight="1">
      <c r="A529" s="14"/>
    </row>
    <row r="530" ht="14.25" customHeight="1">
      <c r="A530" s="14"/>
    </row>
    <row r="531" ht="14.25" customHeight="1">
      <c r="A531" s="14"/>
    </row>
    <row r="532" ht="14.25" customHeight="1">
      <c r="A532" s="14"/>
    </row>
    <row r="533" ht="14.25" customHeight="1">
      <c r="A533" s="14"/>
    </row>
    <row r="534" ht="14.25" customHeight="1">
      <c r="A534" s="14"/>
    </row>
    <row r="535" ht="14.25" customHeight="1">
      <c r="A535" s="14"/>
    </row>
    <row r="536" ht="14.25" customHeight="1">
      <c r="A536" s="14"/>
    </row>
    <row r="537" ht="14.25" customHeight="1">
      <c r="A537" s="14"/>
    </row>
    <row r="538" ht="14.25" customHeight="1">
      <c r="A538" s="14"/>
    </row>
    <row r="539" ht="14.25" customHeight="1">
      <c r="A539" s="14"/>
    </row>
    <row r="540" ht="14.25" customHeight="1">
      <c r="A540" s="14"/>
    </row>
    <row r="541" ht="14.25" customHeight="1">
      <c r="A541" s="14"/>
    </row>
    <row r="542" ht="14.25" customHeight="1">
      <c r="A542" s="14"/>
    </row>
    <row r="543" ht="14.25" customHeight="1">
      <c r="A543" s="14"/>
    </row>
    <row r="544" ht="14.25" customHeight="1">
      <c r="A544" s="14"/>
    </row>
    <row r="545" ht="14.25" customHeight="1">
      <c r="A545" s="14"/>
    </row>
    <row r="546" ht="14.25" customHeight="1">
      <c r="A546" s="14"/>
    </row>
    <row r="547" ht="14.25" customHeight="1">
      <c r="A547" s="14"/>
    </row>
    <row r="548" ht="14.25" customHeight="1">
      <c r="A548" s="14"/>
    </row>
    <row r="549" ht="14.25" customHeight="1">
      <c r="A549" s="14"/>
    </row>
    <row r="550" ht="14.25" customHeight="1">
      <c r="A550" s="14"/>
    </row>
    <row r="551" ht="14.25" customHeight="1">
      <c r="A551" s="14"/>
    </row>
    <row r="552" ht="14.25" customHeight="1">
      <c r="A552" s="14"/>
    </row>
    <row r="553" ht="14.25" customHeight="1">
      <c r="A553" s="14"/>
    </row>
    <row r="554" ht="14.25" customHeight="1">
      <c r="A554" s="14"/>
    </row>
    <row r="555" ht="14.25" customHeight="1">
      <c r="A555" s="14"/>
    </row>
    <row r="556" ht="14.25" customHeight="1">
      <c r="A556" s="14"/>
    </row>
    <row r="557" ht="14.25" customHeight="1">
      <c r="A557" s="14"/>
    </row>
    <row r="558" ht="14.25" customHeight="1">
      <c r="A558" s="14"/>
    </row>
    <row r="559" ht="14.25" customHeight="1">
      <c r="A559" s="14"/>
    </row>
    <row r="560" ht="14.25" customHeight="1">
      <c r="A560" s="14"/>
    </row>
    <row r="561" ht="14.25" customHeight="1">
      <c r="A561" s="14"/>
    </row>
    <row r="562" ht="14.25" customHeight="1">
      <c r="A562" s="14"/>
    </row>
    <row r="563" ht="14.25" customHeight="1">
      <c r="A563" s="14"/>
    </row>
    <row r="564" ht="14.25" customHeight="1">
      <c r="A564" s="14"/>
    </row>
    <row r="565" ht="14.25" customHeight="1">
      <c r="A565" s="14"/>
    </row>
    <row r="566" ht="14.25" customHeight="1">
      <c r="A566" s="14"/>
    </row>
    <row r="567" ht="14.25" customHeight="1">
      <c r="A567" s="14"/>
    </row>
    <row r="568" ht="14.25" customHeight="1">
      <c r="A568" s="14"/>
    </row>
    <row r="569" ht="14.25" customHeight="1">
      <c r="A569" s="14"/>
    </row>
    <row r="570" ht="14.25" customHeight="1">
      <c r="A570" s="14"/>
    </row>
    <row r="571" ht="14.25" customHeight="1">
      <c r="A571" s="14"/>
    </row>
    <row r="572" ht="14.25" customHeight="1">
      <c r="A572" s="14"/>
    </row>
    <row r="573" ht="14.25" customHeight="1">
      <c r="A573" s="14"/>
    </row>
    <row r="574" ht="14.25" customHeight="1">
      <c r="A574" s="14"/>
    </row>
    <row r="575" ht="14.25" customHeight="1">
      <c r="A575" s="14"/>
    </row>
    <row r="576" ht="14.25" customHeight="1">
      <c r="A576" s="14"/>
    </row>
    <row r="577" ht="14.25" customHeight="1">
      <c r="A577" s="14"/>
    </row>
    <row r="578" ht="14.25" customHeight="1">
      <c r="A578" s="14"/>
    </row>
    <row r="579" ht="14.25" customHeight="1">
      <c r="A579" s="14"/>
    </row>
    <row r="580" ht="14.25" customHeight="1">
      <c r="A580" s="14"/>
    </row>
    <row r="581" ht="14.25" customHeight="1">
      <c r="A581" s="14"/>
    </row>
    <row r="582" ht="14.25" customHeight="1">
      <c r="A582" s="14"/>
    </row>
    <row r="583" ht="14.25" customHeight="1">
      <c r="A583" s="14"/>
    </row>
    <row r="584" ht="14.25" customHeight="1">
      <c r="A584" s="14"/>
    </row>
    <row r="585" ht="14.25" customHeight="1">
      <c r="A585" s="14"/>
    </row>
    <row r="586" ht="14.25" customHeight="1">
      <c r="A586" s="14"/>
    </row>
    <row r="587" ht="14.25" customHeight="1">
      <c r="A587" s="14"/>
    </row>
    <row r="588" ht="14.25" customHeight="1">
      <c r="A588" s="14"/>
    </row>
    <row r="589" ht="14.25" customHeight="1">
      <c r="A589" s="14"/>
    </row>
    <row r="590" ht="14.25" customHeight="1">
      <c r="A590" s="14"/>
    </row>
    <row r="591" ht="14.25" customHeight="1">
      <c r="A591" s="14"/>
    </row>
    <row r="592" ht="14.25" customHeight="1">
      <c r="A592" s="14"/>
    </row>
    <row r="593" ht="14.25" customHeight="1">
      <c r="A593" s="14"/>
    </row>
    <row r="594" ht="14.25" customHeight="1">
      <c r="A594" s="14"/>
    </row>
    <row r="595" ht="14.25" customHeight="1">
      <c r="A595" s="14"/>
    </row>
    <row r="596" ht="14.25" customHeight="1">
      <c r="A596" s="14"/>
    </row>
    <row r="597" ht="14.25" customHeight="1">
      <c r="A597" s="14"/>
    </row>
    <row r="598" ht="14.25" customHeight="1">
      <c r="A598" s="14"/>
    </row>
    <row r="599" ht="14.25" customHeight="1">
      <c r="A599" s="14"/>
    </row>
    <row r="600" ht="14.25" customHeight="1">
      <c r="A600" s="14"/>
    </row>
    <row r="601" ht="14.25" customHeight="1">
      <c r="A601" s="14"/>
    </row>
    <row r="602" ht="14.25" customHeight="1">
      <c r="A602" s="14"/>
    </row>
    <row r="603" ht="14.25" customHeight="1">
      <c r="A603" s="14"/>
    </row>
    <row r="604" ht="14.25" customHeight="1">
      <c r="A604" s="14"/>
    </row>
    <row r="605" ht="14.25" customHeight="1">
      <c r="A605" s="14"/>
    </row>
    <row r="606" ht="14.25" customHeight="1">
      <c r="A606" s="14"/>
    </row>
    <row r="607" ht="14.25" customHeight="1">
      <c r="A607" s="14"/>
    </row>
    <row r="608" ht="14.25" customHeight="1">
      <c r="A608" s="14"/>
    </row>
    <row r="609" ht="14.25" customHeight="1">
      <c r="A609" s="14"/>
    </row>
    <row r="610" ht="14.25" customHeight="1">
      <c r="A610" s="14"/>
    </row>
    <row r="611" ht="14.25" customHeight="1">
      <c r="A611" s="14"/>
    </row>
    <row r="612" ht="14.25" customHeight="1">
      <c r="A612" s="14"/>
    </row>
    <row r="613" ht="14.25" customHeight="1">
      <c r="A613" s="14"/>
    </row>
    <row r="614" ht="14.25" customHeight="1">
      <c r="A614" s="14"/>
    </row>
    <row r="615" ht="14.25" customHeight="1">
      <c r="A615" s="14"/>
    </row>
    <row r="616" ht="14.25" customHeight="1">
      <c r="A616" s="14"/>
    </row>
    <row r="617" ht="14.25" customHeight="1">
      <c r="A617" s="14"/>
    </row>
    <row r="618" ht="14.25" customHeight="1">
      <c r="A618" s="14"/>
    </row>
    <row r="619" ht="14.25" customHeight="1">
      <c r="A619" s="14"/>
    </row>
    <row r="620" ht="14.25" customHeight="1">
      <c r="A620" s="14"/>
    </row>
    <row r="621" ht="14.25" customHeight="1">
      <c r="A621" s="14"/>
    </row>
    <row r="622" ht="14.25" customHeight="1">
      <c r="A622" s="14"/>
    </row>
    <row r="623" ht="14.25" customHeight="1">
      <c r="A623" s="14"/>
    </row>
    <row r="624" ht="14.25" customHeight="1">
      <c r="A624" s="14"/>
    </row>
    <row r="625" ht="14.25" customHeight="1">
      <c r="A625" s="14"/>
    </row>
    <row r="626" ht="14.25" customHeight="1">
      <c r="A626" s="14"/>
    </row>
    <row r="627" ht="14.25" customHeight="1">
      <c r="A627" s="14"/>
    </row>
    <row r="628" ht="14.25" customHeight="1">
      <c r="A628" s="14"/>
    </row>
    <row r="629" ht="14.25" customHeight="1">
      <c r="A629" s="14"/>
    </row>
    <row r="630" ht="14.25" customHeight="1">
      <c r="A630" s="14"/>
    </row>
    <row r="631" ht="14.25" customHeight="1">
      <c r="A631" s="14"/>
    </row>
    <row r="632" ht="14.25" customHeight="1">
      <c r="A632" s="14"/>
    </row>
    <row r="633" ht="14.25" customHeight="1">
      <c r="A633" s="14"/>
    </row>
    <row r="634" ht="14.25" customHeight="1">
      <c r="A634" s="14"/>
    </row>
    <row r="635" ht="14.25" customHeight="1">
      <c r="A635" s="14"/>
    </row>
    <row r="636" ht="14.25" customHeight="1">
      <c r="A636" s="14"/>
    </row>
    <row r="637" ht="14.25" customHeight="1">
      <c r="A637" s="14"/>
    </row>
    <row r="638" ht="14.25" customHeight="1">
      <c r="A638" s="14"/>
    </row>
    <row r="639" ht="14.25" customHeight="1">
      <c r="A639" s="14"/>
    </row>
    <row r="640" ht="14.25" customHeight="1">
      <c r="A640" s="14"/>
    </row>
    <row r="641" ht="14.25" customHeight="1">
      <c r="A641" s="14"/>
    </row>
    <row r="642" ht="14.25" customHeight="1">
      <c r="A642" s="14"/>
    </row>
    <row r="643" ht="14.25" customHeight="1">
      <c r="A643" s="14"/>
    </row>
    <row r="644" ht="14.25" customHeight="1">
      <c r="A644" s="14"/>
    </row>
    <row r="645" ht="14.25" customHeight="1">
      <c r="A645" s="14"/>
    </row>
    <row r="646" ht="14.25" customHeight="1">
      <c r="A646" s="14"/>
    </row>
    <row r="647" ht="14.25" customHeight="1">
      <c r="A647" s="14"/>
    </row>
    <row r="648" ht="14.25" customHeight="1">
      <c r="A648" s="14"/>
    </row>
    <row r="649" ht="14.25" customHeight="1">
      <c r="A649" s="14"/>
    </row>
    <row r="650" ht="14.25" customHeight="1">
      <c r="A650" s="14"/>
    </row>
    <row r="651" ht="14.25" customHeight="1">
      <c r="A651" s="14"/>
    </row>
    <row r="652" ht="14.25" customHeight="1">
      <c r="A652" s="14"/>
    </row>
    <row r="653" ht="14.25" customHeight="1">
      <c r="A653" s="14"/>
    </row>
    <row r="654" ht="14.25" customHeight="1">
      <c r="A654" s="14"/>
    </row>
    <row r="655" ht="14.25" customHeight="1">
      <c r="A655" s="14"/>
    </row>
    <row r="656" ht="14.25" customHeight="1">
      <c r="A656" s="14"/>
    </row>
    <row r="657" ht="14.25" customHeight="1">
      <c r="A657" s="14"/>
    </row>
    <row r="658" ht="14.25" customHeight="1">
      <c r="A658" s="14"/>
    </row>
    <row r="659" ht="14.25" customHeight="1">
      <c r="A659" s="14"/>
    </row>
    <row r="660" ht="14.25" customHeight="1">
      <c r="A660" s="14"/>
    </row>
    <row r="661" ht="14.25" customHeight="1">
      <c r="A661" s="14"/>
    </row>
    <row r="662" ht="14.25" customHeight="1">
      <c r="A662" s="14"/>
    </row>
    <row r="663" ht="14.25" customHeight="1">
      <c r="A663" s="14"/>
    </row>
    <row r="664" ht="14.25" customHeight="1">
      <c r="A664" s="14"/>
    </row>
    <row r="665" ht="14.25" customHeight="1">
      <c r="A665" s="14"/>
    </row>
    <row r="666" ht="14.25" customHeight="1">
      <c r="A666" s="14"/>
    </row>
    <row r="667" ht="14.25" customHeight="1">
      <c r="A667" s="14"/>
    </row>
    <row r="668" ht="14.25" customHeight="1">
      <c r="A668" s="14"/>
    </row>
    <row r="669" ht="14.25" customHeight="1">
      <c r="A669" s="14"/>
    </row>
    <row r="670" ht="14.25" customHeight="1">
      <c r="A670" s="14"/>
    </row>
    <row r="671" ht="14.25" customHeight="1">
      <c r="A671" s="14"/>
    </row>
    <row r="672" ht="14.25" customHeight="1">
      <c r="A672" s="14"/>
    </row>
    <row r="673" ht="14.25" customHeight="1">
      <c r="A673" s="14"/>
    </row>
    <row r="674" ht="14.25" customHeight="1">
      <c r="A674" s="14"/>
    </row>
    <row r="675" ht="14.25" customHeight="1">
      <c r="A675" s="14"/>
    </row>
    <row r="676" ht="14.25" customHeight="1">
      <c r="A676" s="14"/>
    </row>
    <row r="677" ht="14.25" customHeight="1">
      <c r="A677" s="14"/>
    </row>
    <row r="678" ht="14.25" customHeight="1">
      <c r="A678" s="14"/>
    </row>
    <row r="679" ht="14.25" customHeight="1">
      <c r="A679" s="14"/>
    </row>
    <row r="680" ht="14.25" customHeight="1">
      <c r="A680" s="14"/>
    </row>
    <row r="681" ht="14.25" customHeight="1">
      <c r="A681" s="14"/>
    </row>
    <row r="682" ht="14.25" customHeight="1">
      <c r="A682" s="14"/>
    </row>
    <row r="683" ht="14.25" customHeight="1">
      <c r="A683" s="14"/>
    </row>
    <row r="684" ht="14.25" customHeight="1">
      <c r="A684" s="14"/>
    </row>
    <row r="685" ht="14.25" customHeight="1">
      <c r="A685" s="14"/>
    </row>
    <row r="686" ht="14.25" customHeight="1">
      <c r="A686" s="14"/>
    </row>
    <row r="687" ht="14.25" customHeight="1">
      <c r="A687" s="14"/>
    </row>
    <row r="688" ht="14.25" customHeight="1">
      <c r="A688" s="14"/>
    </row>
    <row r="689" ht="14.25" customHeight="1">
      <c r="A689" s="14"/>
    </row>
    <row r="690" ht="14.25" customHeight="1">
      <c r="A690" s="14"/>
    </row>
    <row r="691" ht="14.25" customHeight="1">
      <c r="A691" s="14"/>
    </row>
    <row r="692" ht="14.25" customHeight="1">
      <c r="A692" s="14"/>
    </row>
    <row r="693" ht="14.25" customHeight="1">
      <c r="A693" s="14"/>
    </row>
    <row r="694" ht="14.25" customHeight="1">
      <c r="A694" s="14"/>
    </row>
    <row r="695" ht="14.25" customHeight="1">
      <c r="A695" s="14"/>
    </row>
    <row r="696" ht="14.25" customHeight="1">
      <c r="A696" s="14"/>
    </row>
    <row r="697" ht="14.25" customHeight="1">
      <c r="A697" s="14"/>
    </row>
    <row r="698" ht="14.25" customHeight="1">
      <c r="A698" s="14"/>
    </row>
    <row r="699" ht="14.25" customHeight="1">
      <c r="A699" s="14"/>
    </row>
    <row r="700" ht="14.25" customHeight="1">
      <c r="A700" s="14"/>
    </row>
    <row r="701" ht="14.25" customHeight="1">
      <c r="A701" s="14"/>
    </row>
    <row r="702" ht="14.25" customHeight="1">
      <c r="A702" s="14"/>
    </row>
    <row r="703" ht="14.25" customHeight="1">
      <c r="A703" s="14"/>
    </row>
    <row r="704" ht="14.25" customHeight="1">
      <c r="A704" s="14"/>
    </row>
    <row r="705" ht="14.25" customHeight="1">
      <c r="A705" s="14"/>
    </row>
    <row r="706" ht="14.25" customHeight="1">
      <c r="A706" s="14"/>
    </row>
    <row r="707" ht="14.25" customHeight="1">
      <c r="A707" s="14"/>
    </row>
    <row r="708" ht="14.25" customHeight="1">
      <c r="A708" s="14"/>
    </row>
    <row r="709" ht="14.25" customHeight="1">
      <c r="A709" s="14"/>
    </row>
    <row r="710" ht="14.25" customHeight="1">
      <c r="A710" s="14"/>
    </row>
    <row r="711" ht="14.25" customHeight="1">
      <c r="A711" s="14"/>
    </row>
    <row r="712" ht="14.25" customHeight="1">
      <c r="A712" s="14"/>
    </row>
    <row r="713" ht="14.25" customHeight="1">
      <c r="A713" s="14"/>
    </row>
    <row r="714" ht="14.25" customHeight="1">
      <c r="A714" s="14"/>
    </row>
    <row r="715" ht="14.25" customHeight="1">
      <c r="A715" s="14"/>
    </row>
    <row r="716" ht="14.25" customHeight="1">
      <c r="A716" s="14"/>
    </row>
    <row r="717" ht="14.25" customHeight="1">
      <c r="A717" s="14"/>
    </row>
    <row r="718" ht="14.25" customHeight="1">
      <c r="A718" s="14"/>
    </row>
    <row r="719" ht="14.25" customHeight="1">
      <c r="A719" s="14"/>
    </row>
    <row r="720" ht="14.25" customHeight="1">
      <c r="A720" s="14"/>
    </row>
    <row r="721" ht="14.25" customHeight="1">
      <c r="A721" s="14"/>
    </row>
    <row r="722" ht="14.25" customHeight="1">
      <c r="A722" s="14"/>
    </row>
    <row r="723" ht="14.25" customHeight="1">
      <c r="A723" s="14"/>
    </row>
    <row r="724" ht="14.25" customHeight="1">
      <c r="A724" s="14"/>
    </row>
    <row r="725" ht="14.25" customHeight="1">
      <c r="A725" s="14"/>
    </row>
    <row r="726" ht="14.25" customHeight="1">
      <c r="A726" s="14"/>
    </row>
    <row r="727" ht="14.25" customHeight="1">
      <c r="A727" s="14"/>
    </row>
    <row r="728" ht="14.25" customHeight="1">
      <c r="A728" s="14"/>
    </row>
    <row r="729" ht="14.25" customHeight="1">
      <c r="A729" s="14"/>
    </row>
    <row r="730" ht="14.25" customHeight="1">
      <c r="A730" s="14"/>
    </row>
    <row r="731" ht="14.25" customHeight="1">
      <c r="A731" s="14"/>
    </row>
    <row r="732" ht="14.25" customHeight="1">
      <c r="A732" s="14"/>
    </row>
    <row r="733" ht="14.25" customHeight="1">
      <c r="A733" s="14"/>
    </row>
    <row r="734" ht="14.25" customHeight="1">
      <c r="A734" s="14"/>
    </row>
    <row r="735" ht="14.25" customHeight="1">
      <c r="A735" s="14"/>
    </row>
    <row r="736" ht="14.25" customHeight="1">
      <c r="A736" s="14"/>
    </row>
    <row r="737" ht="14.25" customHeight="1">
      <c r="A737" s="14"/>
    </row>
    <row r="738" ht="14.25" customHeight="1">
      <c r="A738" s="14"/>
    </row>
    <row r="739" ht="14.25" customHeight="1">
      <c r="A739" s="14"/>
    </row>
    <row r="740" ht="14.25" customHeight="1">
      <c r="A740" s="14"/>
    </row>
    <row r="741" ht="14.25" customHeight="1">
      <c r="A741" s="14"/>
    </row>
    <row r="742" ht="14.25" customHeight="1">
      <c r="A742" s="14"/>
    </row>
    <row r="743" ht="14.25" customHeight="1">
      <c r="A743" s="14"/>
    </row>
    <row r="744" ht="14.25" customHeight="1">
      <c r="A744" s="14"/>
    </row>
    <row r="745" ht="14.25" customHeight="1">
      <c r="A745" s="14"/>
    </row>
    <row r="746" ht="14.25" customHeight="1">
      <c r="A746" s="14"/>
    </row>
    <row r="747" ht="14.25" customHeight="1">
      <c r="A747" s="14"/>
    </row>
    <row r="748" ht="14.25" customHeight="1">
      <c r="A748" s="14"/>
    </row>
    <row r="749" ht="14.25" customHeight="1">
      <c r="A749" s="14"/>
    </row>
    <row r="750" ht="14.25" customHeight="1">
      <c r="A750" s="14"/>
    </row>
    <row r="751" ht="14.25" customHeight="1">
      <c r="A751" s="14"/>
    </row>
    <row r="752" ht="14.25" customHeight="1">
      <c r="A752" s="14"/>
    </row>
    <row r="753" ht="14.25" customHeight="1">
      <c r="A753" s="14"/>
    </row>
    <row r="754" ht="14.25" customHeight="1">
      <c r="A754" s="14"/>
    </row>
    <row r="755" ht="14.25" customHeight="1">
      <c r="A755" s="14"/>
    </row>
    <row r="756" ht="14.25" customHeight="1">
      <c r="A756" s="14"/>
    </row>
    <row r="757" ht="14.25" customHeight="1">
      <c r="A757" s="14"/>
    </row>
    <row r="758" ht="14.25" customHeight="1">
      <c r="A758" s="14"/>
    </row>
    <row r="759" ht="14.25" customHeight="1">
      <c r="A759" s="14"/>
    </row>
    <row r="760" ht="14.25" customHeight="1">
      <c r="A760" s="14"/>
    </row>
    <row r="761" ht="14.25" customHeight="1">
      <c r="A761" s="14"/>
    </row>
    <row r="762" ht="14.25" customHeight="1">
      <c r="A762" s="14"/>
    </row>
    <row r="763" ht="14.25" customHeight="1">
      <c r="A763" s="14"/>
    </row>
    <row r="764" ht="14.25" customHeight="1">
      <c r="A764" s="14"/>
    </row>
    <row r="765" ht="14.25" customHeight="1">
      <c r="A765" s="14"/>
    </row>
    <row r="766" ht="14.25" customHeight="1">
      <c r="A766" s="14"/>
    </row>
    <row r="767" ht="14.25" customHeight="1">
      <c r="A767" s="14"/>
    </row>
    <row r="768" ht="14.25" customHeight="1">
      <c r="A768" s="14"/>
    </row>
    <row r="769" ht="14.25" customHeight="1">
      <c r="A769" s="14"/>
    </row>
    <row r="770" ht="14.25" customHeight="1">
      <c r="A770" s="14"/>
    </row>
    <row r="771" ht="14.25" customHeight="1">
      <c r="A771" s="14"/>
    </row>
    <row r="772" ht="14.25" customHeight="1">
      <c r="A772" s="14"/>
    </row>
    <row r="773" ht="14.25" customHeight="1">
      <c r="A773" s="14"/>
    </row>
    <row r="774" ht="14.25" customHeight="1">
      <c r="A774" s="14"/>
    </row>
    <row r="775" ht="14.25" customHeight="1">
      <c r="A775" s="14"/>
    </row>
    <row r="776" ht="14.25" customHeight="1">
      <c r="A776" s="14"/>
    </row>
    <row r="777" ht="14.25" customHeight="1">
      <c r="A777" s="14"/>
    </row>
    <row r="778" ht="14.25" customHeight="1">
      <c r="A778" s="14"/>
    </row>
    <row r="779" ht="14.25" customHeight="1">
      <c r="A779" s="14"/>
    </row>
    <row r="780" ht="14.25" customHeight="1">
      <c r="A780" s="14"/>
    </row>
    <row r="781" ht="14.25" customHeight="1">
      <c r="A781" s="14"/>
    </row>
    <row r="782" ht="14.25" customHeight="1">
      <c r="A782" s="14"/>
    </row>
    <row r="783" ht="14.25" customHeight="1">
      <c r="A783" s="14"/>
    </row>
    <row r="784" ht="14.25" customHeight="1">
      <c r="A784" s="14"/>
    </row>
    <row r="785" ht="14.25" customHeight="1">
      <c r="A785" s="14"/>
    </row>
    <row r="786" ht="14.25" customHeight="1">
      <c r="A786" s="14"/>
    </row>
    <row r="787" ht="14.25" customHeight="1">
      <c r="A787" s="14"/>
    </row>
    <row r="788" ht="14.25" customHeight="1">
      <c r="A788" s="14"/>
    </row>
    <row r="789" ht="14.25" customHeight="1">
      <c r="A789" s="14"/>
    </row>
    <row r="790" ht="14.25" customHeight="1">
      <c r="A790" s="14"/>
    </row>
    <row r="791" ht="14.25" customHeight="1">
      <c r="A791" s="14"/>
    </row>
    <row r="792" ht="14.25" customHeight="1">
      <c r="A792" s="14"/>
    </row>
    <row r="793" ht="14.25" customHeight="1">
      <c r="A793" s="14"/>
    </row>
    <row r="794" ht="14.25" customHeight="1">
      <c r="A794" s="14"/>
    </row>
    <row r="795" ht="14.25" customHeight="1">
      <c r="A795" s="14"/>
    </row>
    <row r="796" ht="14.25" customHeight="1">
      <c r="A796" s="14"/>
    </row>
    <row r="797" ht="14.25" customHeight="1">
      <c r="A797" s="14"/>
    </row>
    <row r="798" ht="14.25" customHeight="1">
      <c r="A798" s="14"/>
    </row>
    <row r="799" ht="14.25" customHeight="1">
      <c r="A799" s="14"/>
    </row>
    <row r="800" ht="14.25" customHeight="1">
      <c r="A800" s="14"/>
    </row>
    <row r="801" ht="14.25" customHeight="1">
      <c r="A801" s="14"/>
    </row>
    <row r="802" ht="14.25" customHeight="1">
      <c r="A802" s="14"/>
    </row>
    <row r="803" ht="14.25" customHeight="1">
      <c r="A803" s="14"/>
    </row>
    <row r="804" ht="14.25" customHeight="1">
      <c r="A804" s="14"/>
    </row>
    <row r="805" ht="14.25" customHeight="1">
      <c r="A805" s="14"/>
    </row>
    <row r="806" ht="14.25" customHeight="1">
      <c r="A806" s="14"/>
    </row>
    <row r="807" ht="14.25" customHeight="1">
      <c r="A807" s="14"/>
    </row>
    <row r="808" ht="14.25" customHeight="1">
      <c r="A808" s="14"/>
    </row>
    <row r="809" ht="14.25" customHeight="1">
      <c r="A809" s="14"/>
    </row>
    <row r="810" ht="14.25" customHeight="1">
      <c r="A810" s="14"/>
    </row>
    <row r="811" ht="14.25" customHeight="1">
      <c r="A811" s="14"/>
    </row>
    <row r="812" ht="14.25" customHeight="1">
      <c r="A812" s="14"/>
    </row>
    <row r="813" ht="14.25" customHeight="1">
      <c r="A813" s="14"/>
    </row>
    <row r="814" ht="14.25" customHeight="1">
      <c r="A814" s="14"/>
    </row>
    <row r="815" ht="14.25" customHeight="1">
      <c r="A815" s="14"/>
    </row>
    <row r="816" ht="14.25" customHeight="1">
      <c r="A816" s="14"/>
    </row>
    <row r="817" ht="14.25" customHeight="1">
      <c r="A817" s="14"/>
    </row>
    <row r="818" ht="14.25" customHeight="1">
      <c r="A818" s="14"/>
    </row>
    <row r="819" ht="14.25" customHeight="1">
      <c r="A819" s="14"/>
    </row>
    <row r="820" ht="14.25" customHeight="1">
      <c r="A820" s="14"/>
    </row>
    <row r="821" ht="14.25" customHeight="1">
      <c r="A821" s="14"/>
    </row>
    <row r="822" ht="14.25" customHeight="1">
      <c r="A822" s="14"/>
    </row>
    <row r="823" ht="14.25" customHeight="1">
      <c r="A823" s="14"/>
    </row>
    <row r="824" ht="14.25" customHeight="1">
      <c r="A824" s="14"/>
    </row>
    <row r="825" ht="14.25" customHeight="1">
      <c r="A825" s="14"/>
    </row>
    <row r="826" ht="14.25" customHeight="1">
      <c r="A826" s="14"/>
    </row>
    <row r="827" ht="14.25" customHeight="1">
      <c r="A827" s="14"/>
    </row>
    <row r="828" ht="14.25" customHeight="1">
      <c r="A828" s="14"/>
    </row>
    <row r="829" ht="14.25" customHeight="1">
      <c r="A829" s="14"/>
    </row>
    <row r="830" ht="14.25" customHeight="1">
      <c r="A830" s="14"/>
    </row>
    <row r="831" ht="14.25" customHeight="1">
      <c r="A831" s="14"/>
    </row>
    <row r="832" ht="14.25" customHeight="1">
      <c r="A832" s="14"/>
    </row>
    <row r="833" ht="14.25" customHeight="1">
      <c r="A833" s="14"/>
    </row>
    <row r="834" ht="14.25" customHeight="1">
      <c r="A834" s="14"/>
    </row>
    <row r="835" ht="14.25" customHeight="1">
      <c r="A835" s="14"/>
    </row>
    <row r="836" ht="14.25" customHeight="1">
      <c r="A836" s="14"/>
    </row>
    <row r="837" ht="14.25" customHeight="1">
      <c r="A837" s="14"/>
    </row>
    <row r="838" ht="14.25" customHeight="1">
      <c r="A838" s="14"/>
    </row>
    <row r="839" ht="14.25" customHeight="1">
      <c r="A839" s="14"/>
    </row>
    <row r="840" ht="14.25" customHeight="1">
      <c r="A840" s="14"/>
    </row>
    <row r="841" ht="14.25" customHeight="1">
      <c r="A841" s="14"/>
    </row>
    <row r="842" ht="14.25" customHeight="1">
      <c r="A842" s="14"/>
    </row>
    <row r="843" ht="14.25" customHeight="1">
      <c r="A843" s="14"/>
    </row>
    <row r="844" ht="14.25" customHeight="1">
      <c r="A844" s="14"/>
    </row>
    <row r="845" ht="14.25" customHeight="1">
      <c r="A845" s="14"/>
    </row>
    <row r="846" ht="14.25" customHeight="1">
      <c r="A846" s="14"/>
    </row>
    <row r="847" ht="14.25" customHeight="1">
      <c r="A847" s="14"/>
    </row>
    <row r="848" ht="14.25" customHeight="1">
      <c r="A848" s="14"/>
    </row>
    <row r="849" ht="14.25" customHeight="1">
      <c r="A849" s="14"/>
    </row>
    <row r="850" ht="14.25" customHeight="1">
      <c r="A850" s="14"/>
    </row>
    <row r="851" ht="14.25" customHeight="1">
      <c r="A851" s="14"/>
    </row>
    <row r="852" ht="14.25" customHeight="1">
      <c r="A852" s="14"/>
    </row>
    <row r="853" ht="14.25" customHeight="1">
      <c r="A853" s="14"/>
    </row>
    <row r="854" ht="14.25" customHeight="1">
      <c r="A854" s="14"/>
    </row>
    <row r="855" ht="14.25" customHeight="1">
      <c r="A855" s="14"/>
    </row>
    <row r="856" ht="14.25" customHeight="1">
      <c r="A856" s="14"/>
    </row>
    <row r="857" ht="14.25" customHeight="1">
      <c r="A857" s="14"/>
    </row>
    <row r="858" ht="14.25" customHeight="1">
      <c r="A858" s="14"/>
    </row>
    <row r="859" ht="14.25" customHeight="1">
      <c r="A859" s="14"/>
    </row>
    <row r="860" ht="14.25" customHeight="1">
      <c r="A860" s="14"/>
    </row>
    <row r="861" ht="14.25" customHeight="1">
      <c r="A861" s="14"/>
    </row>
    <row r="862" ht="14.25" customHeight="1">
      <c r="A862" s="14"/>
    </row>
    <row r="863" ht="14.25" customHeight="1">
      <c r="A863" s="14"/>
    </row>
    <row r="864" ht="14.25" customHeight="1">
      <c r="A864" s="14"/>
    </row>
    <row r="865" ht="14.25" customHeight="1">
      <c r="A865" s="14"/>
    </row>
    <row r="866" ht="14.25" customHeight="1">
      <c r="A866" s="14"/>
    </row>
    <row r="867" ht="14.25" customHeight="1">
      <c r="A867" s="14"/>
    </row>
    <row r="868" ht="14.25" customHeight="1">
      <c r="A868" s="14"/>
    </row>
    <row r="869" ht="14.25" customHeight="1">
      <c r="A869" s="14"/>
    </row>
    <row r="870" ht="14.25" customHeight="1">
      <c r="A870" s="14"/>
    </row>
    <row r="871" ht="14.25" customHeight="1">
      <c r="A871" s="14"/>
    </row>
    <row r="872" ht="14.25" customHeight="1">
      <c r="A872" s="14"/>
    </row>
    <row r="873" ht="14.25" customHeight="1">
      <c r="A873" s="14"/>
    </row>
    <row r="874" ht="14.25" customHeight="1">
      <c r="A874" s="14"/>
    </row>
    <row r="875" ht="14.25" customHeight="1">
      <c r="A875" s="14"/>
    </row>
    <row r="876" ht="14.25" customHeight="1">
      <c r="A876" s="14"/>
    </row>
    <row r="877" ht="14.25" customHeight="1">
      <c r="A877" s="14"/>
    </row>
    <row r="878" ht="14.25" customHeight="1">
      <c r="A878" s="14"/>
    </row>
    <row r="879" ht="14.25" customHeight="1">
      <c r="A879" s="14"/>
    </row>
    <row r="880" ht="14.25" customHeight="1">
      <c r="A880" s="14"/>
    </row>
    <row r="881" ht="14.25" customHeight="1">
      <c r="A881" s="14"/>
    </row>
    <row r="882" ht="14.25" customHeight="1">
      <c r="A882" s="14"/>
    </row>
    <row r="883" ht="14.25" customHeight="1">
      <c r="A883" s="14"/>
    </row>
    <row r="884" ht="14.25" customHeight="1">
      <c r="A884" s="14"/>
    </row>
    <row r="885" ht="14.25" customHeight="1">
      <c r="A885" s="14"/>
    </row>
    <row r="886" ht="14.25" customHeight="1">
      <c r="A886" s="14"/>
    </row>
    <row r="887" ht="14.25" customHeight="1">
      <c r="A887" s="14"/>
    </row>
    <row r="888" ht="14.25" customHeight="1">
      <c r="A888" s="14"/>
    </row>
    <row r="889" ht="14.25" customHeight="1">
      <c r="A889" s="14"/>
    </row>
    <row r="890" ht="14.25" customHeight="1">
      <c r="A890" s="14"/>
    </row>
    <row r="891" ht="14.25" customHeight="1">
      <c r="A891" s="14"/>
    </row>
    <row r="892" ht="14.25" customHeight="1">
      <c r="A892" s="14"/>
    </row>
    <row r="893" ht="14.25" customHeight="1">
      <c r="A893" s="14"/>
    </row>
    <row r="894" ht="14.25" customHeight="1">
      <c r="A894" s="14"/>
    </row>
    <row r="895" ht="14.25" customHeight="1">
      <c r="A895" s="14"/>
    </row>
    <row r="896" ht="14.25" customHeight="1">
      <c r="A896" s="14"/>
    </row>
    <row r="897" ht="14.25" customHeight="1">
      <c r="A897" s="14"/>
    </row>
    <row r="898" ht="14.25" customHeight="1">
      <c r="A898" s="14"/>
    </row>
    <row r="899" ht="14.25" customHeight="1">
      <c r="A899" s="14"/>
    </row>
    <row r="900" ht="14.25" customHeight="1">
      <c r="A900" s="14"/>
    </row>
    <row r="901" ht="14.25" customHeight="1">
      <c r="A901" s="14"/>
    </row>
    <row r="902" ht="14.25" customHeight="1">
      <c r="A902" s="14"/>
    </row>
    <row r="903" ht="14.25" customHeight="1">
      <c r="A903" s="14"/>
    </row>
    <row r="904" ht="14.25" customHeight="1">
      <c r="A904" s="14"/>
    </row>
    <row r="905" ht="14.25" customHeight="1">
      <c r="A905" s="14"/>
    </row>
    <row r="906" ht="14.25" customHeight="1">
      <c r="A906" s="14"/>
    </row>
    <row r="907" ht="14.25" customHeight="1">
      <c r="A907" s="14"/>
    </row>
    <row r="908" ht="14.25" customHeight="1">
      <c r="A908" s="14"/>
    </row>
    <row r="909" ht="14.25" customHeight="1">
      <c r="A909" s="14"/>
    </row>
    <row r="910" ht="14.25" customHeight="1">
      <c r="A910" s="14"/>
    </row>
    <row r="911" ht="14.25" customHeight="1">
      <c r="A911" s="14"/>
    </row>
    <row r="912" ht="14.25" customHeight="1">
      <c r="A912" s="14"/>
    </row>
    <row r="913" ht="14.25" customHeight="1">
      <c r="A913" s="14"/>
    </row>
    <row r="914" ht="14.25" customHeight="1">
      <c r="A914" s="14"/>
    </row>
    <row r="915" ht="14.25" customHeight="1">
      <c r="A915" s="14"/>
    </row>
    <row r="916" ht="14.25" customHeight="1">
      <c r="A916" s="14"/>
    </row>
    <row r="917" ht="14.25" customHeight="1">
      <c r="A917" s="14"/>
    </row>
    <row r="918" ht="14.25" customHeight="1">
      <c r="A918" s="14"/>
    </row>
    <row r="919" ht="14.25" customHeight="1">
      <c r="A919" s="14"/>
    </row>
    <row r="920" ht="14.25" customHeight="1">
      <c r="A920" s="14"/>
    </row>
    <row r="921" ht="14.25" customHeight="1">
      <c r="A921" s="14"/>
    </row>
    <row r="922" ht="14.25" customHeight="1">
      <c r="A922" s="14"/>
    </row>
    <row r="923" ht="14.25" customHeight="1">
      <c r="A923" s="14"/>
    </row>
    <row r="924" ht="14.25" customHeight="1">
      <c r="A924" s="14"/>
    </row>
    <row r="925" ht="14.25" customHeight="1">
      <c r="A925" s="14"/>
    </row>
    <row r="926" ht="14.25" customHeight="1">
      <c r="A926" s="14"/>
    </row>
    <row r="927" ht="14.25" customHeight="1">
      <c r="A927" s="14"/>
    </row>
    <row r="928" ht="14.25" customHeight="1">
      <c r="A928" s="14"/>
    </row>
    <row r="929" ht="14.25" customHeight="1">
      <c r="A929" s="14"/>
    </row>
    <row r="930" ht="14.25" customHeight="1">
      <c r="A930" s="14"/>
    </row>
    <row r="931" ht="14.25" customHeight="1">
      <c r="A931" s="14"/>
    </row>
    <row r="932" ht="14.25" customHeight="1">
      <c r="A932" s="14"/>
    </row>
    <row r="933" ht="14.25" customHeight="1">
      <c r="A933" s="14"/>
    </row>
    <row r="934" ht="14.25" customHeight="1">
      <c r="A934" s="14"/>
    </row>
    <row r="935" ht="14.25" customHeight="1">
      <c r="A935" s="14"/>
    </row>
    <row r="936" ht="14.25" customHeight="1">
      <c r="A936" s="14"/>
    </row>
    <row r="937" ht="14.25" customHeight="1">
      <c r="A937" s="14"/>
    </row>
    <row r="938" ht="14.25" customHeight="1">
      <c r="A938" s="14"/>
    </row>
    <row r="939" ht="14.25" customHeight="1">
      <c r="A939" s="14"/>
    </row>
    <row r="940" ht="14.25" customHeight="1">
      <c r="A940" s="14"/>
    </row>
    <row r="941" ht="14.25" customHeight="1">
      <c r="A941" s="14"/>
    </row>
    <row r="942" ht="14.25" customHeight="1">
      <c r="A942" s="14"/>
    </row>
    <row r="943" ht="14.25" customHeight="1">
      <c r="A943" s="14"/>
    </row>
    <row r="944" ht="14.25" customHeight="1">
      <c r="A944" s="14"/>
    </row>
    <row r="945" ht="14.25" customHeight="1">
      <c r="A945" s="14"/>
    </row>
    <row r="946" ht="14.25" customHeight="1">
      <c r="A946" s="14"/>
    </row>
    <row r="947" ht="14.25" customHeight="1">
      <c r="A947" s="14"/>
    </row>
    <row r="948" ht="14.25" customHeight="1">
      <c r="A948" s="14"/>
    </row>
    <row r="949" ht="14.25" customHeight="1">
      <c r="A949" s="14"/>
    </row>
    <row r="950" ht="14.25" customHeight="1">
      <c r="A950" s="14"/>
    </row>
    <row r="951" ht="14.25" customHeight="1">
      <c r="A951" s="14"/>
    </row>
    <row r="952" ht="14.25" customHeight="1">
      <c r="A952" s="14"/>
    </row>
    <row r="953" ht="14.25" customHeight="1">
      <c r="A953" s="14"/>
    </row>
    <row r="954" ht="14.25" customHeight="1">
      <c r="A954" s="14"/>
    </row>
    <row r="955" ht="14.25" customHeight="1">
      <c r="A955" s="14"/>
    </row>
    <row r="956" ht="14.25" customHeight="1">
      <c r="A956" s="14"/>
    </row>
    <row r="957" ht="14.25" customHeight="1">
      <c r="A957" s="14"/>
    </row>
    <row r="958" ht="14.25" customHeight="1">
      <c r="A958" s="14"/>
    </row>
    <row r="959" ht="14.25" customHeight="1">
      <c r="A959" s="14"/>
    </row>
    <row r="960" ht="14.25" customHeight="1">
      <c r="A960" s="14"/>
    </row>
    <row r="961" ht="14.25" customHeight="1">
      <c r="A961" s="14"/>
    </row>
    <row r="962" ht="14.25" customHeight="1">
      <c r="A962" s="14"/>
    </row>
    <row r="963" ht="14.25" customHeight="1">
      <c r="A963" s="14"/>
    </row>
    <row r="964" ht="14.25" customHeight="1">
      <c r="A964" s="14"/>
    </row>
    <row r="965" ht="14.25" customHeight="1">
      <c r="A965" s="14"/>
    </row>
    <row r="966" ht="14.25" customHeight="1">
      <c r="A966" s="14"/>
    </row>
    <row r="967" ht="14.25" customHeight="1">
      <c r="A967" s="14"/>
    </row>
    <row r="968" ht="14.25" customHeight="1">
      <c r="A968" s="14"/>
    </row>
    <row r="969" ht="14.25" customHeight="1">
      <c r="A969" s="14"/>
    </row>
    <row r="970" ht="14.25" customHeight="1">
      <c r="A970" s="14"/>
    </row>
    <row r="971" ht="14.25" customHeight="1">
      <c r="A971" s="14"/>
    </row>
    <row r="972" ht="14.25" customHeight="1">
      <c r="A972" s="14"/>
    </row>
    <row r="973" ht="14.25" customHeight="1">
      <c r="A973" s="14"/>
    </row>
    <row r="974" ht="14.25" customHeight="1">
      <c r="A974" s="14"/>
    </row>
    <row r="975" ht="14.25" customHeight="1">
      <c r="A975" s="14"/>
    </row>
    <row r="976" ht="14.25" customHeight="1">
      <c r="A976" s="14"/>
    </row>
    <row r="977" ht="14.25" customHeight="1">
      <c r="A977" s="14"/>
    </row>
    <row r="978" ht="14.25" customHeight="1">
      <c r="A978" s="14"/>
    </row>
    <row r="979" ht="14.25" customHeight="1">
      <c r="A979" s="14"/>
    </row>
    <row r="980" ht="14.25" customHeight="1">
      <c r="A980" s="14"/>
    </row>
    <row r="981" ht="14.25" customHeight="1">
      <c r="A981" s="14"/>
    </row>
    <row r="982" ht="14.25" customHeight="1">
      <c r="A982" s="14"/>
    </row>
    <row r="983" ht="14.25" customHeight="1">
      <c r="A983" s="14"/>
    </row>
    <row r="984" ht="14.25" customHeight="1">
      <c r="A984" s="14"/>
    </row>
    <row r="985" ht="14.25" customHeight="1">
      <c r="A985" s="14"/>
    </row>
    <row r="986" ht="14.25" customHeight="1">
      <c r="A986" s="14"/>
    </row>
    <row r="987" ht="14.25" customHeight="1">
      <c r="A987" s="14"/>
    </row>
    <row r="988" ht="14.25" customHeight="1">
      <c r="A988" s="14"/>
    </row>
    <row r="989" ht="14.25" customHeight="1">
      <c r="A989" s="14"/>
    </row>
    <row r="990" ht="14.25" customHeight="1">
      <c r="A990" s="14"/>
    </row>
    <row r="991" ht="14.25" customHeight="1">
      <c r="A991" s="14"/>
    </row>
    <row r="992" ht="14.25" customHeight="1">
      <c r="A992" s="14"/>
    </row>
    <row r="993" ht="14.25" customHeight="1">
      <c r="A993" s="14"/>
    </row>
    <row r="994" ht="14.25" customHeight="1">
      <c r="A994" s="14"/>
    </row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3" max="3" width="45.29"/>
    <col hidden="1" min="4" max="4" width="14.43"/>
    <col hidden="1" min="9" max="10" width="14.43"/>
  </cols>
  <sheetData>
    <row r="1">
      <c r="A1" s="15"/>
      <c r="B1" s="16"/>
      <c r="C1" s="17" t="s">
        <v>80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>
      <c r="A2" s="15"/>
      <c r="B2" s="16"/>
      <c r="C2" s="17" t="s">
        <v>81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>
      <c r="A3" s="15"/>
      <c r="B3" s="16"/>
      <c r="C3" s="17" t="s">
        <v>82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>
      <c r="A4" s="15"/>
      <c r="B4" s="16"/>
      <c r="C4" s="17" t="s">
        <v>83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>
      <c r="A5" s="16"/>
      <c r="B5" s="18" t="s">
        <v>84</v>
      </c>
      <c r="C5" s="19" t="s">
        <v>85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>
      <c r="A6" s="16"/>
      <c r="B6" s="18" t="s">
        <v>86</v>
      </c>
      <c r="C6" s="20" t="s">
        <v>87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>
      <c r="A7" s="16"/>
      <c r="B7" s="18" t="s">
        <v>88</v>
      </c>
      <c r="C7" s="19">
        <v>13.0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>
      <c r="A8" s="16"/>
      <c r="B8" s="18" t="s">
        <v>89</v>
      </c>
      <c r="C8" s="21" t="s">
        <v>90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>
      <c r="A9" s="24" t="s">
        <v>91</v>
      </c>
      <c r="B9" s="25" t="s">
        <v>92</v>
      </c>
      <c r="C9" s="26" t="s">
        <v>1</v>
      </c>
      <c r="D9" s="26" t="s">
        <v>93</v>
      </c>
      <c r="E9" s="26" t="s">
        <v>94</v>
      </c>
      <c r="F9" s="26" t="s">
        <v>95</v>
      </c>
      <c r="G9" s="26" t="s">
        <v>96</v>
      </c>
      <c r="H9" s="26" t="s">
        <v>97</v>
      </c>
      <c r="I9" s="26" t="s">
        <v>98</v>
      </c>
      <c r="J9" s="26" t="s">
        <v>99</v>
      </c>
      <c r="K9" s="26" t="s">
        <v>100</v>
      </c>
      <c r="L9" s="26" t="s">
        <v>101</v>
      </c>
      <c r="M9" s="26" t="s">
        <v>101</v>
      </c>
      <c r="N9" s="26" t="s">
        <v>102</v>
      </c>
      <c r="O9" s="26" t="s">
        <v>103</v>
      </c>
      <c r="R9" s="22"/>
      <c r="S9" s="22"/>
      <c r="T9" s="22"/>
      <c r="U9" s="22"/>
      <c r="V9" s="22"/>
      <c r="W9" s="22"/>
      <c r="X9" s="22"/>
      <c r="Y9" s="22"/>
      <c r="Z9" s="22"/>
      <c r="AA9" s="23"/>
    </row>
    <row r="10">
      <c r="A10" s="27"/>
      <c r="B10" s="28"/>
      <c r="C10" s="28"/>
      <c r="D10" s="29">
        <v>0.0</v>
      </c>
      <c r="E10" s="29">
        <v>0.2</v>
      </c>
      <c r="F10" s="29">
        <v>0.05</v>
      </c>
      <c r="G10" s="29">
        <v>0.25</v>
      </c>
      <c r="H10" s="29">
        <v>0.2</v>
      </c>
      <c r="I10" s="29">
        <v>0.0</v>
      </c>
      <c r="J10" s="29">
        <v>0.0</v>
      </c>
      <c r="K10" s="29">
        <v>0.3</v>
      </c>
      <c r="L10" s="30">
        <f>SUM(D10:K10)*100</f>
        <v>100</v>
      </c>
      <c r="M10" s="29">
        <f>SUM(D10:K10)</f>
        <v>1</v>
      </c>
      <c r="N10" s="26" t="s">
        <v>104</v>
      </c>
      <c r="O10" s="26" t="s">
        <v>105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31">
        <v>1.0</v>
      </c>
      <c r="B11" s="32">
        <f>Worksheet!A2</f>
        <v>22101165</v>
      </c>
      <c r="C11" s="32" t="str">
        <f>Worksheet!B2</f>
        <v>Asif Mahmud</v>
      </c>
      <c r="D11" s="33"/>
      <c r="E11" s="33">
        <f>VLOOKUP(B11,'All Marks'!$A$2:$G$39,4,FALSE)</f>
        <v>15.66</v>
      </c>
      <c r="F11" s="33">
        <f>VLOOKUP(B11,'All Marks'!$A$2:$G$40,3,FALSE)</f>
        <v>0</v>
      </c>
      <c r="G11" s="33">
        <f>VLOOKUP(B11,'All Marks'!$A$2:$G$40,7,FALSE)</f>
        <v>2.56</v>
      </c>
      <c r="H11" s="33">
        <f>VLOOKUP(B11,'All Marks'!$A$2:$G$40,5,FALSE)</f>
        <v>12.3</v>
      </c>
      <c r="I11" s="33"/>
      <c r="J11" s="33"/>
      <c r="K11" s="33">
        <f>VLOOKUP(B11,'All Marks'!$A$2:$G$40,6,FALSE)</f>
        <v>19.9</v>
      </c>
      <c r="L11" s="34">
        <f t="shared" ref="L11:L47" si="1">SUM(E11:K11)</f>
        <v>50.42</v>
      </c>
      <c r="M11" s="31">
        <f t="shared" ref="M11:M47" si="2">IF(AND(L11&gt;=96.5,L11&lt;97),L11,ROUND(L11,0))</f>
        <v>50</v>
      </c>
      <c r="N11" s="35" t="str">
        <f t="shared" ref="N11:N47" si="3">IF(M11&lt;65,IF(M11&lt;55,IF(M11&lt;52,IF(M11&lt;50,"F","D-"),"D"),IF(M11&lt;57,"D+",IF(M11&lt;60,"C-","C"))),IF(M11&lt;75,IF(M11&lt;70,"C+","B-"),IF(M11&lt;85,IF(M11&lt;80,"B","B+"),IF(M11&lt;90,"A-",IF(M11&lt;97,"A","A+")))))</f>
        <v>D-</v>
      </c>
      <c r="O11" s="35" t="str">
        <f t="shared" ref="O11:O47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MINUS</v>
      </c>
      <c r="Q11" s="36">
        <f>'All Marks'!H2</f>
        <v>50.42</v>
      </c>
      <c r="R11" s="37" t="b">
        <f t="shared" ref="R11:R47" si="5">EQ(Q11,L11)</f>
        <v>1</v>
      </c>
    </row>
    <row r="12">
      <c r="A12" s="34">
        <v>2.0</v>
      </c>
      <c r="B12" s="32">
        <f>Worksheet!A3</f>
        <v>22101192</v>
      </c>
      <c r="C12" s="32" t="str">
        <f>Worksheet!B3</f>
        <v>Maliha Anan Promi</v>
      </c>
      <c r="D12" s="33"/>
      <c r="E12" s="33">
        <f>VLOOKUP(B12,'All Marks'!$A$3:$G$39,4,FALSE)</f>
        <v>13.33</v>
      </c>
      <c r="F12" s="33">
        <f>VLOOKUP(B12,'All Marks'!$A$3:$G$40,3,FALSE)</f>
        <v>5</v>
      </c>
      <c r="G12" s="33">
        <f>VLOOKUP(B12,'All Marks'!$A$3:$G$40,7,FALSE)</f>
        <v>0.48</v>
      </c>
      <c r="H12" s="33">
        <f>VLOOKUP(B12,'All Marks'!$A$3:$G$40,5,FALSE)</f>
        <v>8.9</v>
      </c>
      <c r="I12" s="33"/>
      <c r="J12" s="33"/>
      <c r="K12" s="33">
        <f>VLOOKUP(B12,'All Marks'!$A$3:$G$40,6,FALSE)</f>
        <v>9.8</v>
      </c>
      <c r="L12" s="34">
        <f t="shared" si="1"/>
        <v>37.51</v>
      </c>
      <c r="M12" s="31">
        <f t="shared" si="2"/>
        <v>38</v>
      </c>
      <c r="N12" s="35" t="str">
        <f t="shared" si="3"/>
        <v>F</v>
      </c>
      <c r="O12" s="35" t="str">
        <f t="shared" si="4"/>
        <v>PLAIN</v>
      </c>
      <c r="Q12" s="36">
        <f>'All Marks'!H3</f>
        <v>37.51</v>
      </c>
      <c r="R12" s="37" t="b">
        <f t="shared" si="5"/>
        <v>1</v>
      </c>
    </row>
    <row r="13">
      <c r="A13" s="34">
        <v>3.0</v>
      </c>
      <c r="B13" s="32">
        <f>Worksheet!A4</f>
        <v>22101297</v>
      </c>
      <c r="C13" s="32" t="str">
        <f>Worksheet!B4</f>
        <v>Parthib Biswas</v>
      </c>
      <c r="D13" s="33"/>
      <c r="E13" s="33">
        <f>VLOOKUP(B13,'All Marks'!$A$3:$G$39,4,FALSE)</f>
        <v>9.33</v>
      </c>
      <c r="F13" s="33">
        <f>VLOOKUP(B13,'All Marks'!$A$3:$G$40,3,FALSE)</f>
        <v>3.75</v>
      </c>
      <c r="G13" s="33">
        <f>VLOOKUP(B13,'All Marks'!$A$3:$G$40,7,FALSE)</f>
        <v>4.82</v>
      </c>
      <c r="H13" s="33">
        <f>VLOOKUP(B13,'All Marks'!$A$3:$G$40,5,FALSE)</f>
        <v>7.5</v>
      </c>
      <c r="I13" s="33"/>
      <c r="J13" s="33"/>
      <c r="K13" s="33">
        <f>VLOOKUP(B13,'All Marks'!$A$3:$G$40,6,FALSE)</f>
        <v>14.3</v>
      </c>
      <c r="L13" s="34">
        <f t="shared" si="1"/>
        <v>39.7</v>
      </c>
      <c r="M13" s="31">
        <f t="shared" si="2"/>
        <v>40</v>
      </c>
      <c r="N13" s="35" t="str">
        <f t="shared" si="3"/>
        <v>F</v>
      </c>
      <c r="O13" s="35" t="str">
        <f t="shared" si="4"/>
        <v>PLAIN</v>
      </c>
      <c r="Q13" s="36">
        <f>'All Marks'!H4</f>
        <v>39.7</v>
      </c>
      <c r="R13" s="37" t="b">
        <f t="shared" si="5"/>
        <v>1</v>
      </c>
    </row>
    <row r="14">
      <c r="A14" s="31">
        <v>4.0</v>
      </c>
      <c r="B14" s="32">
        <f>Worksheet!A5</f>
        <v>22201706</v>
      </c>
      <c r="C14" s="32" t="str">
        <f>Worksheet!B5</f>
        <v>Sadnan Basher</v>
      </c>
      <c r="D14" s="33"/>
      <c r="E14" s="33">
        <f>VLOOKUP(B14,'All Marks'!$A$3:$G$39,4,FALSE)</f>
        <v>8.66</v>
      </c>
      <c r="F14" s="33">
        <f>VLOOKUP(B14,'All Marks'!$A$3:$G$40,3,FALSE)</f>
        <v>3.75</v>
      </c>
      <c r="G14" s="33">
        <f>VLOOKUP(B14,'All Marks'!$A$3:$G$40,7,FALSE)</f>
        <v>5</v>
      </c>
      <c r="H14" s="33">
        <f>VLOOKUP(B14,'All Marks'!$A$3:$G$40,5,FALSE)</f>
        <v>2.9</v>
      </c>
      <c r="I14" s="33"/>
      <c r="J14" s="33"/>
      <c r="K14" s="33">
        <f>VLOOKUP(B14,'All Marks'!$A$3:$G$40,6,FALSE)</f>
        <v>1.5</v>
      </c>
      <c r="L14" s="34">
        <f t="shared" si="1"/>
        <v>21.81</v>
      </c>
      <c r="M14" s="31">
        <f t="shared" si="2"/>
        <v>22</v>
      </c>
      <c r="N14" s="35" t="str">
        <f t="shared" si="3"/>
        <v>F</v>
      </c>
      <c r="O14" s="35" t="str">
        <f t="shared" si="4"/>
        <v>PLAIN</v>
      </c>
      <c r="Q14" s="36">
        <f>'All Marks'!H5</f>
        <v>21.81</v>
      </c>
      <c r="R14" s="37" t="b">
        <f t="shared" si="5"/>
        <v>1</v>
      </c>
    </row>
    <row r="15">
      <c r="A15" s="34">
        <v>5.0</v>
      </c>
      <c r="B15" s="32">
        <f>Worksheet!A6</f>
        <v>22301485</v>
      </c>
      <c r="C15" s="32" t="str">
        <f>Worksheet!B6</f>
        <v>Tamal Kumar Dey</v>
      </c>
      <c r="D15" s="33"/>
      <c r="E15" s="33">
        <f>VLOOKUP(B15,'All Marks'!$A$3:$G$39,4,FALSE)</f>
        <v>17.33</v>
      </c>
      <c r="F15" s="33">
        <f>VLOOKUP(B15,'All Marks'!$A$3:$G$40,3,FALSE)</f>
        <v>5</v>
      </c>
      <c r="G15" s="33">
        <f>VLOOKUP(B15,'All Marks'!$A$3:$G$40,7,FALSE)</f>
        <v>0.85</v>
      </c>
      <c r="H15" s="33">
        <f>VLOOKUP(B15,'All Marks'!$A$3:$G$40,5,FALSE)</f>
        <v>8.9</v>
      </c>
      <c r="I15" s="33"/>
      <c r="J15" s="33"/>
      <c r="K15" s="33">
        <f>VLOOKUP(B15,'All Marks'!$A$3:$G$40,6,FALSE)</f>
        <v>18</v>
      </c>
      <c r="L15" s="34">
        <f t="shared" si="1"/>
        <v>50.08</v>
      </c>
      <c r="M15" s="31">
        <f t="shared" si="2"/>
        <v>50</v>
      </c>
      <c r="N15" s="35" t="str">
        <f t="shared" si="3"/>
        <v>D-</v>
      </c>
      <c r="O15" s="35" t="str">
        <f t="shared" si="4"/>
        <v>MINUS</v>
      </c>
      <c r="Q15" s="36">
        <f>'All Marks'!H6</f>
        <v>50.08</v>
      </c>
      <c r="R15" s="37" t="b">
        <f t="shared" si="5"/>
        <v>1</v>
      </c>
    </row>
    <row r="16">
      <c r="A16" s="34">
        <v>6.0</v>
      </c>
      <c r="B16" s="32">
        <f>Worksheet!A7</f>
        <v>22301581</v>
      </c>
      <c r="C16" s="32" t="str">
        <f>Worksheet!B7</f>
        <v>Rufaida Zoon Raiyan</v>
      </c>
      <c r="D16" s="33"/>
      <c r="E16" s="33">
        <f>VLOOKUP(B16,'All Marks'!$A$3:$G$39,4,FALSE)</f>
        <v>13.66</v>
      </c>
      <c r="F16" s="33">
        <f>VLOOKUP(B16,'All Marks'!$A$3:$G$40,3,FALSE)</f>
        <v>5</v>
      </c>
      <c r="G16" s="33">
        <f>VLOOKUP(B16,'All Marks'!$A$3:$G$40,7,FALSE)</f>
        <v>0.67</v>
      </c>
      <c r="H16" s="33">
        <f>VLOOKUP(B16,'All Marks'!$A$3:$G$40,5,FALSE)</f>
        <v>8.3</v>
      </c>
      <c r="I16" s="33"/>
      <c r="J16" s="33"/>
      <c r="K16" s="33">
        <f>VLOOKUP(B16,'All Marks'!$A$3:$G$40,6,FALSE)</f>
        <v>22.9</v>
      </c>
      <c r="L16" s="34">
        <f t="shared" si="1"/>
        <v>50.53</v>
      </c>
      <c r="M16" s="31">
        <f t="shared" si="2"/>
        <v>51</v>
      </c>
      <c r="N16" s="35" t="str">
        <f t="shared" si="3"/>
        <v>D-</v>
      </c>
      <c r="O16" s="35" t="str">
        <f t="shared" si="4"/>
        <v>MINUS</v>
      </c>
      <c r="Q16" s="36">
        <f>'All Marks'!H7</f>
        <v>50.53</v>
      </c>
      <c r="R16" s="37" t="b">
        <f t="shared" si="5"/>
        <v>1</v>
      </c>
    </row>
    <row r="17">
      <c r="A17" s="31">
        <v>7.0</v>
      </c>
      <c r="B17" s="32">
        <f>Worksheet!A8</f>
        <v>23101152</v>
      </c>
      <c r="C17" s="32" t="str">
        <f>Worksheet!B8</f>
        <v>Shihabul Ishraq Tanim</v>
      </c>
      <c r="D17" s="33"/>
      <c r="E17" s="33">
        <f>VLOOKUP(B17,'All Marks'!$A$3:$G$39,4,FALSE)</f>
        <v>15.66</v>
      </c>
      <c r="F17" s="33">
        <f>VLOOKUP(B17,'All Marks'!$A$3:$G$40,3,FALSE)</f>
        <v>5</v>
      </c>
      <c r="G17" s="33">
        <f>VLOOKUP(B17,'All Marks'!$A$3:$G$40,7,FALSE)</f>
        <v>8.46</v>
      </c>
      <c r="H17" s="33">
        <f>VLOOKUP(B17,'All Marks'!$A$3:$G$40,5,FALSE)</f>
        <v>7.5</v>
      </c>
      <c r="I17" s="33"/>
      <c r="J17" s="33"/>
      <c r="K17" s="33">
        <f>VLOOKUP(B17,'All Marks'!$A$3:$G$40,6,FALSE)</f>
        <v>15</v>
      </c>
      <c r="L17" s="38">
        <f t="shared" si="1"/>
        <v>51.62</v>
      </c>
      <c r="M17" s="31">
        <f t="shared" si="2"/>
        <v>52</v>
      </c>
      <c r="N17" s="35" t="str">
        <f t="shared" si="3"/>
        <v>D</v>
      </c>
      <c r="O17" s="35" t="str">
        <f t="shared" si="4"/>
        <v>PLAIN</v>
      </c>
      <c r="Q17" s="36">
        <f>'All Marks'!H8</f>
        <v>51.62</v>
      </c>
      <c r="R17" s="37" t="b">
        <f t="shared" si="5"/>
        <v>1</v>
      </c>
    </row>
    <row r="18">
      <c r="A18" s="34">
        <v>8.0</v>
      </c>
      <c r="B18" s="32">
        <f>Worksheet!A9</f>
        <v>23101196</v>
      </c>
      <c r="C18" s="32" t="str">
        <f>Worksheet!B9</f>
        <v>Nandini Das Jhumu</v>
      </c>
      <c r="D18" s="33"/>
      <c r="E18" s="33">
        <f>VLOOKUP(B18,'All Marks'!$A$3:$G$39,4,FALSE)</f>
        <v>17.33</v>
      </c>
      <c r="F18" s="33">
        <f>VLOOKUP(B18,'All Marks'!$A$3:$G$40,3,FALSE)</f>
        <v>5</v>
      </c>
      <c r="G18" s="33">
        <f>VLOOKUP(B18,'All Marks'!$A$3:$G$40,7,FALSE)</f>
        <v>4.91</v>
      </c>
      <c r="H18" s="33">
        <f>VLOOKUP(B18,'All Marks'!$A$3:$G$40,5,FALSE)</f>
        <v>11.5</v>
      </c>
      <c r="I18" s="33"/>
      <c r="J18" s="33"/>
      <c r="K18" s="33">
        <f>VLOOKUP(B18,'All Marks'!$A$3:$G$40,6,FALSE)</f>
        <v>21</v>
      </c>
      <c r="L18" s="34">
        <f t="shared" si="1"/>
        <v>59.74</v>
      </c>
      <c r="M18" s="31">
        <f t="shared" si="2"/>
        <v>60</v>
      </c>
      <c r="N18" s="35" t="str">
        <f t="shared" si="3"/>
        <v>C</v>
      </c>
      <c r="O18" s="35" t="str">
        <f t="shared" si="4"/>
        <v>PLAIN</v>
      </c>
      <c r="Q18" s="36">
        <f>'All Marks'!H9</f>
        <v>59.74</v>
      </c>
      <c r="R18" s="37" t="b">
        <f t="shared" si="5"/>
        <v>1</v>
      </c>
    </row>
    <row r="19">
      <c r="A19" s="34">
        <v>9.0</v>
      </c>
      <c r="B19" s="32">
        <f>Worksheet!A10</f>
        <v>23201055</v>
      </c>
      <c r="C19" s="32" t="str">
        <f>Worksheet!B10</f>
        <v>Ridwanul Azim</v>
      </c>
      <c r="D19" s="33"/>
      <c r="E19" s="33">
        <f>VLOOKUP(B19,'All Marks'!$A$3:$G$39,4,FALSE)</f>
        <v>2</v>
      </c>
      <c r="F19" s="33">
        <f>VLOOKUP(B19,'All Marks'!$A$3:$G$40,3,FALSE)</f>
        <v>0</v>
      </c>
      <c r="G19" s="33">
        <f>VLOOKUP(B19,'All Marks'!$A$3:$G$40,7,FALSE)</f>
        <v>0</v>
      </c>
      <c r="H19" s="33">
        <f>VLOOKUP(B19,'All Marks'!$A$3:$G$40,5,FALSE)</f>
        <v>0</v>
      </c>
      <c r="I19" s="33"/>
      <c r="J19" s="33"/>
      <c r="K19" s="33">
        <f>VLOOKUP(B19,'All Marks'!$A$3:$G$40,6,FALSE)</f>
        <v>0</v>
      </c>
      <c r="L19" s="38">
        <f t="shared" si="1"/>
        <v>2</v>
      </c>
      <c r="M19" s="31">
        <f t="shared" si="2"/>
        <v>2</v>
      </c>
      <c r="N19" s="35" t="str">
        <f t="shared" si="3"/>
        <v>F</v>
      </c>
      <c r="O19" s="35" t="str">
        <f t="shared" si="4"/>
        <v>PLAIN</v>
      </c>
      <c r="Q19" s="36">
        <f>'All Marks'!H10</f>
        <v>2</v>
      </c>
      <c r="R19" s="37" t="b">
        <f t="shared" si="5"/>
        <v>1</v>
      </c>
    </row>
    <row r="20">
      <c r="A20" s="31">
        <v>10.0</v>
      </c>
      <c r="B20" s="32">
        <f>Worksheet!A11</f>
        <v>23301401</v>
      </c>
      <c r="C20" s="32" t="str">
        <f>Worksheet!B11</f>
        <v>Saddat Hossain Sifat</v>
      </c>
      <c r="D20" s="33"/>
      <c r="E20" s="33">
        <f>VLOOKUP(B20,'All Marks'!$A$3:$G$39,4,FALSE)</f>
        <v>19.33</v>
      </c>
      <c r="F20" s="33">
        <f>VLOOKUP(B20,'All Marks'!$A$3:$G$40,3,FALSE)</f>
        <v>5</v>
      </c>
      <c r="G20" s="33">
        <f>VLOOKUP(B20,'All Marks'!$A$3:$G$40,7,FALSE)</f>
        <v>21.29</v>
      </c>
      <c r="H20" s="33">
        <f>VLOOKUP(B20,'All Marks'!$A$3:$G$40,5,FALSE)</f>
        <v>13.2</v>
      </c>
      <c r="I20" s="33"/>
      <c r="J20" s="33"/>
      <c r="K20" s="33">
        <f>VLOOKUP(B20,'All Marks'!$A$3:$G$40,6,FALSE)</f>
        <v>27.8</v>
      </c>
      <c r="L20" s="34">
        <f t="shared" si="1"/>
        <v>86.62</v>
      </c>
      <c r="M20" s="31">
        <f t="shared" si="2"/>
        <v>87</v>
      </c>
      <c r="N20" s="35" t="str">
        <f t="shared" si="3"/>
        <v>A-</v>
      </c>
      <c r="O20" s="35" t="str">
        <f t="shared" si="4"/>
        <v>MINUS</v>
      </c>
      <c r="Q20" s="36">
        <f>'All Marks'!H11</f>
        <v>86.62</v>
      </c>
      <c r="R20" s="37" t="b">
        <f t="shared" si="5"/>
        <v>1</v>
      </c>
    </row>
    <row r="21">
      <c r="A21" s="34">
        <v>11.0</v>
      </c>
      <c r="B21" s="32">
        <f>Worksheet!A12</f>
        <v>24101043</v>
      </c>
      <c r="C21" s="32" t="str">
        <f>Worksheet!B12</f>
        <v>Md Abu Noman Kabbo</v>
      </c>
      <c r="D21" s="33"/>
      <c r="E21" s="33">
        <f>VLOOKUP(B21,'All Marks'!$A$3:$G$39,4,FALSE)</f>
        <v>5.33</v>
      </c>
      <c r="F21" s="33">
        <f>VLOOKUP(B21,'All Marks'!$A$3:$G$40,3,FALSE)</f>
        <v>0</v>
      </c>
      <c r="G21" s="33">
        <f>VLOOKUP(B21,'All Marks'!$A$3:$G$40,7,FALSE)</f>
        <v>4.09</v>
      </c>
      <c r="H21" s="33">
        <f>VLOOKUP(B21,'All Marks'!$A$3:$G$40,5,FALSE)</f>
        <v>10.6</v>
      </c>
      <c r="I21" s="33"/>
      <c r="J21" s="33"/>
      <c r="K21" s="33">
        <f>VLOOKUP(B21,'All Marks'!$A$3:$G$40,6,FALSE)</f>
        <v>0</v>
      </c>
      <c r="L21" s="34">
        <f t="shared" si="1"/>
        <v>20.02</v>
      </c>
      <c r="M21" s="31">
        <f t="shared" si="2"/>
        <v>20</v>
      </c>
      <c r="N21" s="35" t="str">
        <f t="shared" si="3"/>
        <v>F</v>
      </c>
      <c r="O21" s="35" t="str">
        <f t="shared" si="4"/>
        <v>PLAIN</v>
      </c>
      <c r="Q21" s="36">
        <f>'All Marks'!H12</f>
        <v>20.02</v>
      </c>
      <c r="R21" s="37" t="b">
        <f t="shared" si="5"/>
        <v>1</v>
      </c>
    </row>
    <row r="22">
      <c r="A22" s="34">
        <v>12.0</v>
      </c>
      <c r="B22" s="32">
        <f>Worksheet!A13</f>
        <v>24101081</v>
      </c>
      <c r="C22" s="32" t="str">
        <f>Worksheet!B13</f>
        <v>Adil Abdullah Mahdi</v>
      </c>
      <c r="D22" s="33"/>
      <c r="E22" s="33">
        <f>VLOOKUP(B22,'All Marks'!$A$3:$G$39,4,FALSE)</f>
        <v>17</v>
      </c>
      <c r="F22" s="33">
        <f>VLOOKUP(B22,'All Marks'!$A$3:$G$40,3,FALSE)</f>
        <v>5</v>
      </c>
      <c r="G22" s="33">
        <f>VLOOKUP(B22,'All Marks'!$A$3:$G$40,7,FALSE)</f>
        <v>2.84</v>
      </c>
      <c r="H22" s="33">
        <f>VLOOKUP(B22,'All Marks'!$A$3:$G$40,5,FALSE)</f>
        <v>8.6</v>
      </c>
      <c r="I22" s="33"/>
      <c r="J22" s="33"/>
      <c r="K22" s="33">
        <f>VLOOKUP(B22,'All Marks'!$A$3:$G$40,6,FALSE)</f>
        <v>23.3</v>
      </c>
      <c r="L22" s="38">
        <f t="shared" si="1"/>
        <v>56.74</v>
      </c>
      <c r="M22" s="31">
        <f t="shared" si="2"/>
        <v>57</v>
      </c>
      <c r="N22" s="35" t="str">
        <f t="shared" si="3"/>
        <v>C-</v>
      </c>
      <c r="O22" s="35" t="str">
        <f t="shared" si="4"/>
        <v>MINUS</v>
      </c>
      <c r="Q22" s="36">
        <f>'All Marks'!H13</f>
        <v>56.74</v>
      </c>
      <c r="R22" s="37" t="b">
        <f t="shared" si="5"/>
        <v>1</v>
      </c>
    </row>
    <row r="23">
      <c r="A23" s="31">
        <v>13.0</v>
      </c>
      <c r="B23" s="32">
        <f>Worksheet!A14</f>
        <v>24101103</v>
      </c>
      <c r="C23" s="32" t="str">
        <f>Worksheet!B14</f>
        <v>Zunayed Amin</v>
      </c>
      <c r="D23" s="33"/>
      <c r="E23" s="33">
        <f>VLOOKUP(B23,'All Marks'!$A$3:$G$39,4,FALSE)</f>
        <v>18.66</v>
      </c>
      <c r="F23" s="33">
        <f>VLOOKUP(B23,'All Marks'!$A$3:$G$40,3,FALSE)</f>
        <v>5</v>
      </c>
      <c r="G23" s="33">
        <f>VLOOKUP(B23,'All Marks'!$A$3:$G$40,7,FALSE)</f>
        <v>3.97</v>
      </c>
      <c r="H23" s="33">
        <f>VLOOKUP(B23,'All Marks'!$A$3:$G$40,5,FALSE)</f>
        <v>7.8</v>
      </c>
      <c r="I23" s="33"/>
      <c r="J23" s="33"/>
      <c r="K23" s="33">
        <f>VLOOKUP(B23,'All Marks'!$A$3:$G$40,6,FALSE)</f>
        <v>21.8</v>
      </c>
      <c r="L23" s="34">
        <f t="shared" si="1"/>
        <v>57.23</v>
      </c>
      <c r="M23" s="31">
        <f t="shared" si="2"/>
        <v>57</v>
      </c>
      <c r="N23" s="35" t="str">
        <f t="shared" si="3"/>
        <v>C-</v>
      </c>
      <c r="O23" s="35" t="str">
        <f t="shared" si="4"/>
        <v>MINUS</v>
      </c>
      <c r="Q23" s="36">
        <f>'All Marks'!H14</f>
        <v>57.23</v>
      </c>
      <c r="R23" s="37" t="b">
        <f t="shared" si="5"/>
        <v>1</v>
      </c>
    </row>
    <row r="24">
      <c r="A24" s="34">
        <v>14.0</v>
      </c>
      <c r="B24" s="32">
        <f>Worksheet!A15</f>
        <v>24110031</v>
      </c>
      <c r="C24" s="32" t="str">
        <f>Worksheet!B15</f>
        <v>Sm Mostofa Morshed Sayeem</v>
      </c>
      <c r="D24" s="33"/>
      <c r="E24" s="33">
        <f>VLOOKUP(B24,'All Marks'!$A$3:$G$39,4,FALSE)</f>
        <v>2</v>
      </c>
      <c r="F24" s="33">
        <f>VLOOKUP(B24,'All Marks'!$A$3:$G$40,3,FALSE)</f>
        <v>0</v>
      </c>
      <c r="G24" s="33">
        <f>VLOOKUP(B24,'All Marks'!$A$3:$G$40,7,FALSE)</f>
        <v>2.65</v>
      </c>
      <c r="H24" s="33">
        <f>VLOOKUP(B24,'All Marks'!$A$3:$G$40,5,FALSE)</f>
        <v>4.6</v>
      </c>
      <c r="I24" s="33"/>
      <c r="J24" s="33"/>
      <c r="K24" s="33">
        <f>VLOOKUP(B24,'All Marks'!$A$3:$G$40,6,FALSE)</f>
        <v>0</v>
      </c>
      <c r="L24" s="34">
        <f t="shared" si="1"/>
        <v>9.25</v>
      </c>
      <c r="M24" s="31">
        <f t="shared" si="2"/>
        <v>9</v>
      </c>
      <c r="N24" s="35" t="str">
        <f t="shared" si="3"/>
        <v>F</v>
      </c>
      <c r="O24" s="35" t="str">
        <f t="shared" si="4"/>
        <v>PLAIN</v>
      </c>
      <c r="Q24" s="36">
        <f>'All Marks'!H15</f>
        <v>9.25</v>
      </c>
      <c r="R24" s="37" t="b">
        <f t="shared" si="5"/>
        <v>1</v>
      </c>
    </row>
    <row r="25">
      <c r="A25" s="34">
        <v>15.0</v>
      </c>
      <c r="B25" s="32">
        <f>Worksheet!A16</f>
        <v>24201140</v>
      </c>
      <c r="C25" s="32" t="str">
        <f>Worksheet!B16</f>
        <v>Mehrab Rashid Mugdha</v>
      </c>
      <c r="D25" s="33"/>
      <c r="E25" s="33">
        <f>VLOOKUP(B25,'All Marks'!$A$3:$G$39,4,FALSE)</f>
        <v>20</v>
      </c>
      <c r="F25" s="33">
        <f>VLOOKUP(B25,'All Marks'!$A$3:$G$40,3,FALSE)</f>
        <v>5</v>
      </c>
      <c r="G25" s="33">
        <f>VLOOKUP(B25,'All Marks'!$A$3:$G$40,7,FALSE)</f>
        <v>14.77</v>
      </c>
      <c r="H25" s="33">
        <f>VLOOKUP(B25,'All Marks'!$A$3:$G$40,5,FALSE)</f>
        <v>13.5</v>
      </c>
      <c r="I25" s="33"/>
      <c r="J25" s="33"/>
      <c r="K25" s="33">
        <f>VLOOKUP(B25,'All Marks'!$A$3:$G$40,6,FALSE)</f>
        <v>27.8</v>
      </c>
      <c r="L25" s="34">
        <f t="shared" si="1"/>
        <v>81.07</v>
      </c>
      <c r="M25" s="31">
        <f t="shared" si="2"/>
        <v>81</v>
      </c>
      <c r="N25" s="35" t="str">
        <f t="shared" si="3"/>
        <v>B+</v>
      </c>
      <c r="O25" s="35" t="str">
        <f t="shared" si="4"/>
        <v>PLUS</v>
      </c>
      <c r="Q25" s="36">
        <f>'All Marks'!H16</f>
        <v>81.07</v>
      </c>
      <c r="R25" s="37" t="b">
        <f t="shared" si="5"/>
        <v>1</v>
      </c>
    </row>
    <row r="26">
      <c r="A26" s="31">
        <v>16.0</v>
      </c>
      <c r="B26" s="32">
        <f>Worksheet!A17</f>
        <v>24301023</v>
      </c>
      <c r="C26" s="32" t="str">
        <f>Worksheet!B17</f>
        <v>Md Muhtasim Chowdhury</v>
      </c>
      <c r="D26" s="33"/>
      <c r="E26" s="33">
        <f>VLOOKUP(B26,'All Marks'!$A$3:$G$39,4,FALSE)</f>
        <v>7.33</v>
      </c>
      <c r="F26" s="33">
        <f>VLOOKUP(B26,'All Marks'!$A$3:$G$40,3,FALSE)</f>
        <v>2.5</v>
      </c>
      <c r="G26" s="33">
        <f>VLOOKUP(B26,'All Marks'!$A$3:$G$40,7,FALSE)</f>
        <v>3.78</v>
      </c>
      <c r="H26" s="33">
        <f>VLOOKUP(B26,'All Marks'!$A$3:$G$40,5,FALSE)</f>
        <v>10.3</v>
      </c>
      <c r="I26" s="33"/>
      <c r="J26" s="33"/>
      <c r="K26" s="33">
        <f>VLOOKUP(B26,'All Marks'!$A$3:$G$40,6,FALSE)</f>
        <v>0</v>
      </c>
      <c r="L26" s="34">
        <f t="shared" si="1"/>
        <v>23.91</v>
      </c>
      <c r="M26" s="31">
        <f t="shared" si="2"/>
        <v>24</v>
      </c>
      <c r="N26" s="35" t="str">
        <f t="shared" si="3"/>
        <v>F</v>
      </c>
      <c r="O26" s="35" t="str">
        <f t="shared" si="4"/>
        <v>PLAIN</v>
      </c>
      <c r="Q26" s="36">
        <f>'All Marks'!H17</f>
        <v>23.91</v>
      </c>
      <c r="R26" s="37" t="b">
        <f t="shared" si="5"/>
        <v>1</v>
      </c>
    </row>
    <row r="27">
      <c r="A27" s="34">
        <v>17.0</v>
      </c>
      <c r="B27" s="32">
        <f>Worksheet!A18</f>
        <v>24301062</v>
      </c>
      <c r="C27" s="32" t="str">
        <f>Worksheet!B18</f>
        <v>Tahseen Zaman</v>
      </c>
      <c r="D27" s="33"/>
      <c r="E27" s="33">
        <f>VLOOKUP(B27,'All Marks'!$A$3:$G$39,4,FALSE)</f>
        <v>19</v>
      </c>
      <c r="F27" s="33">
        <f>VLOOKUP(B27,'All Marks'!$A$3:$G$40,3,FALSE)</f>
        <v>5</v>
      </c>
      <c r="G27" s="33">
        <f>VLOOKUP(B27,'All Marks'!$A$3:$G$40,7,FALSE)</f>
        <v>18.34</v>
      </c>
      <c r="H27" s="33">
        <f>VLOOKUP(B27,'All Marks'!$A$3:$G$40,5,FALSE)</f>
        <v>10.3</v>
      </c>
      <c r="I27" s="33"/>
      <c r="J27" s="33"/>
      <c r="K27" s="33">
        <f>VLOOKUP(B27,'All Marks'!$A$3:$G$40,6,FALSE)</f>
        <v>12</v>
      </c>
      <c r="L27" s="34">
        <f t="shared" si="1"/>
        <v>64.64</v>
      </c>
      <c r="M27" s="31">
        <f t="shared" si="2"/>
        <v>65</v>
      </c>
      <c r="N27" s="35" t="str">
        <f t="shared" si="3"/>
        <v>C+</v>
      </c>
      <c r="O27" s="35" t="str">
        <f t="shared" si="4"/>
        <v>PLUS</v>
      </c>
      <c r="Q27" s="36">
        <f>'All Marks'!H18</f>
        <v>64.64</v>
      </c>
      <c r="R27" s="37" t="b">
        <f t="shared" si="5"/>
        <v>1</v>
      </c>
    </row>
    <row r="28">
      <c r="A28" s="34">
        <v>18.0</v>
      </c>
      <c r="B28" s="32">
        <f>Worksheet!A19</f>
        <v>24301066</v>
      </c>
      <c r="C28" s="32" t="str">
        <f>Worksheet!B19</f>
        <v>Lamia Iqbal</v>
      </c>
      <c r="D28" s="33"/>
      <c r="E28" s="33">
        <f>VLOOKUP(B28,'All Marks'!$A$3:$G$39,4,FALSE)</f>
        <v>20</v>
      </c>
      <c r="F28" s="33">
        <f>VLOOKUP(B28,'All Marks'!$A$3:$G$40,3,FALSE)</f>
        <v>5</v>
      </c>
      <c r="G28" s="33">
        <f>VLOOKUP(B28,'All Marks'!$A$3:$G$40,7,FALSE)</f>
        <v>18.34</v>
      </c>
      <c r="H28" s="33">
        <f>VLOOKUP(B28,'All Marks'!$A$3:$G$40,5,FALSE)</f>
        <v>14.6</v>
      </c>
      <c r="I28" s="33"/>
      <c r="J28" s="33"/>
      <c r="K28" s="33">
        <f>VLOOKUP(B28,'All Marks'!$A$3:$G$40,6,FALSE)</f>
        <v>26.7</v>
      </c>
      <c r="L28" s="34">
        <f t="shared" si="1"/>
        <v>84.64</v>
      </c>
      <c r="M28" s="31">
        <f t="shared" si="2"/>
        <v>85</v>
      </c>
      <c r="N28" s="35" t="str">
        <f t="shared" si="3"/>
        <v>A-</v>
      </c>
      <c r="O28" s="35" t="str">
        <f t="shared" si="4"/>
        <v>MINUS</v>
      </c>
      <c r="Q28" s="36">
        <f>'All Marks'!H19</f>
        <v>84.64</v>
      </c>
      <c r="R28" s="37" t="b">
        <f t="shared" si="5"/>
        <v>1</v>
      </c>
    </row>
    <row r="29">
      <c r="A29" s="31">
        <v>19.0</v>
      </c>
      <c r="B29" s="32">
        <f>Worksheet!A20</f>
        <v>24301073</v>
      </c>
      <c r="C29" s="32" t="str">
        <f>Worksheet!B20</f>
        <v>Rafid Bin Nasir</v>
      </c>
      <c r="D29" s="33"/>
      <c r="E29" s="33">
        <f>VLOOKUP(B29,'All Marks'!$A$3:$G$39,4,FALSE)</f>
        <v>18</v>
      </c>
      <c r="F29" s="33">
        <f>VLOOKUP(B29,'All Marks'!$A$3:$G$40,3,FALSE)</f>
        <v>3.75</v>
      </c>
      <c r="G29" s="33">
        <f>VLOOKUP(B29,'All Marks'!$A$3:$G$40,7,FALSE)</f>
        <v>14.34</v>
      </c>
      <c r="H29" s="33">
        <f>VLOOKUP(B29,'All Marks'!$A$3:$G$40,5,FALSE)</f>
        <v>14</v>
      </c>
      <c r="I29" s="33"/>
      <c r="J29" s="33"/>
      <c r="K29" s="33">
        <f>VLOOKUP(B29,'All Marks'!$A$3:$G$40,6,FALSE)</f>
        <v>25.9</v>
      </c>
      <c r="L29" s="34">
        <f t="shared" si="1"/>
        <v>75.99</v>
      </c>
      <c r="M29" s="31">
        <f t="shared" si="2"/>
        <v>76</v>
      </c>
      <c r="N29" s="35" t="str">
        <f t="shared" si="3"/>
        <v>B</v>
      </c>
      <c r="O29" s="35" t="str">
        <f t="shared" si="4"/>
        <v>PLAIN</v>
      </c>
      <c r="Q29" s="36">
        <f>'All Marks'!H20</f>
        <v>75.99</v>
      </c>
      <c r="R29" s="37" t="b">
        <f t="shared" si="5"/>
        <v>1</v>
      </c>
    </row>
    <row r="30">
      <c r="A30" s="34">
        <v>20.0</v>
      </c>
      <c r="B30" s="32">
        <f>Worksheet!A21</f>
        <v>24301181</v>
      </c>
      <c r="C30" s="32" t="str">
        <f>Worksheet!B21</f>
        <v>Md Mahi Hyder</v>
      </c>
      <c r="D30" s="33"/>
      <c r="E30" s="33">
        <f>VLOOKUP(B30,'All Marks'!$A$3:$G$39,4,FALSE)</f>
        <v>14.66</v>
      </c>
      <c r="F30" s="33">
        <f>VLOOKUP(B30,'All Marks'!$A$3:$G$40,3,FALSE)</f>
        <v>3.75</v>
      </c>
      <c r="G30" s="33">
        <f>VLOOKUP(B30,'All Marks'!$A$3:$G$40,7,FALSE)</f>
        <v>5</v>
      </c>
      <c r="H30" s="33">
        <f>VLOOKUP(B30,'All Marks'!$A$3:$G$40,5,FALSE)</f>
        <v>10.3</v>
      </c>
      <c r="I30" s="33"/>
      <c r="J30" s="33"/>
      <c r="K30" s="33">
        <f>VLOOKUP(B30,'All Marks'!$A$3:$G$40,6,FALSE)</f>
        <v>26.3</v>
      </c>
      <c r="L30" s="34">
        <f t="shared" si="1"/>
        <v>60.01</v>
      </c>
      <c r="M30" s="31">
        <f t="shared" si="2"/>
        <v>60</v>
      </c>
      <c r="N30" s="35" t="str">
        <f t="shared" si="3"/>
        <v>C</v>
      </c>
      <c r="O30" s="35" t="str">
        <f t="shared" si="4"/>
        <v>PLAIN</v>
      </c>
      <c r="Q30" s="36">
        <f>'All Marks'!H21</f>
        <v>60.01</v>
      </c>
      <c r="R30" s="37" t="b">
        <f t="shared" si="5"/>
        <v>1</v>
      </c>
    </row>
    <row r="31">
      <c r="A31" s="34">
        <v>21.0</v>
      </c>
      <c r="B31" s="32">
        <f>Worksheet!A22</f>
        <v>24301184</v>
      </c>
      <c r="C31" s="32" t="str">
        <f>Worksheet!B22</f>
        <v>Md. Abrar Faiyaz</v>
      </c>
      <c r="D31" s="33"/>
      <c r="E31" s="33">
        <f>VLOOKUP(B31,'All Marks'!$A$3:$G$39,4,FALSE)</f>
        <v>20</v>
      </c>
      <c r="F31" s="33">
        <f>VLOOKUP(B31,'All Marks'!$A$3:$G$40,3,FALSE)</f>
        <v>5</v>
      </c>
      <c r="G31" s="33">
        <f>VLOOKUP(B31,'All Marks'!$A$3:$G$40,7,FALSE)</f>
        <v>22</v>
      </c>
      <c r="H31" s="33">
        <f>VLOOKUP(B31,'All Marks'!$A$3:$G$40,5,FALSE)</f>
        <v>16.3</v>
      </c>
      <c r="I31" s="33"/>
      <c r="J31" s="33"/>
      <c r="K31" s="33">
        <f>VLOOKUP(B31,'All Marks'!$A$3:$G$40,6,FALSE)</f>
        <v>26.3</v>
      </c>
      <c r="L31" s="34">
        <f t="shared" si="1"/>
        <v>89.6</v>
      </c>
      <c r="M31" s="31">
        <f t="shared" si="2"/>
        <v>90</v>
      </c>
      <c r="N31" s="35" t="str">
        <f t="shared" si="3"/>
        <v>A</v>
      </c>
      <c r="O31" s="35" t="str">
        <f t="shared" si="4"/>
        <v>PLAIN</v>
      </c>
      <c r="Q31" s="36">
        <f>'All Marks'!H22</f>
        <v>89.6</v>
      </c>
      <c r="R31" s="37" t="b">
        <f t="shared" si="5"/>
        <v>1</v>
      </c>
    </row>
    <row r="32">
      <c r="A32" s="31">
        <v>22.0</v>
      </c>
      <c r="B32" s="32">
        <f>Worksheet!A23</f>
        <v>24301192</v>
      </c>
      <c r="C32" s="32" t="str">
        <f>Worksheet!B23</f>
        <v>Mashfiqur Rahman Khan</v>
      </c>
      <c r="D32" s="33"/>
      <c r="E32" s="33">
        <f>VLOOKUP(B32,'All Marks'!$A$3:$G$39,4,FALSE)</f>
        <v>20</v>
      </c>
      <c r="F32" s="33">
        <f>VLOOKUP(B32,'All Marks'!$A$3:$G$40,3,FALSE)</f>
        <v>5</v>
      </c>
      <c r="G32" s="33">
        <f>VLOOKUP(B32,'All Marks'!$A$3:$G$40,7,FALSE)</f>
        <v>15.48</v>
      </c>
      <c r="H32" s="33">
        <f>VLOOKUP(B32,'All Marks'!$A$3:$G$40,5,FALSE)</f>
        <v>7.8</v>
      </c>
      <c r="I32" s="33"/>
      <c r="J32" s="33"/>
      <c r="K32" s="33">
        <f>VLOOKUP(B32,'All Marks'!$A$3:$G$40,6,FALSE)</f>
        <v>24.4</v>
      </c>
      <c r="L32" s="34">
        <f t="shared" si="1"/>
        <v>72.68</v>
      </c>
      <c r="M32" s="31">
        <f t="shared" si="2"/>
        <v>73</v>
      </c>
      <c r="N32" s="35" t="str">
        <f t="shared" si="3"/>
        <v>B-</v>
      </c>
      <c r="O32" s="35" t="str">
        <f t="shared" si="4"/>
        <v>MINUS</v>
      </c>
      <c r="Q32" s="36">
        <f>'All Marks'!H23</f>
        <v>72.68</v>
      </c>
      <c r="R32" s="37" t="b">
        <f t="shared" si="5"/>
        <v>1</v>
      </c>
    </row>
    <row r="33">
      <c r="A33" s="34">
        <v>23.0</v>
      </c>
      <c r="B33" s="32">
        <f>Worksheet!A24</f>
        <v>24301202</v>
      </c>
      <c r="C33" s="32" t="str">
        <f>Worksheet!B24</f>
        <v>Dibyo Singho Barua Subrajit</v>
      </c>
      <c r="D33" s="33"/>
      <c r="E33" s="33">
        <f>VLOOKUP(B33,'All Marks'!$A$3:$G$39,4,FALSE)</f>
        <v>16.66</v>
      </c>
      <c r="F33" s="33">
        <f>VLOOKUP(B33,'All Marks'!$A$3:$G$40,3,FALSE)</f>
        <v>5</v>
      </c>
      <c r="G33" s="33">
        <f>VLOOKUP(B33,'All Marks'!$A$3:$G$40,7,FALSE)</f>
        <v>17.58</v>
      </c>
      <c r="H33" s="33">
        <f>VLOOKUP(B33,'All Marks'!$A$3:$G$40,5,FALSE)</f>
        <v>8</v>
      </c>
      <c r="I33" s="33"/>
      <c r="J33" s="33"/>
      <c r="K33" s="33">
        <f>VLOOKUP(B33,'All Marks'!$A$3:$G$40,6,FALSE)</f>
        <v>22.9</v>
      </c>
      <c r="L33" s="34">
        <f t="shared" si="1"/>
        <v>70.14</v>
      </c>
      <c r="M33" s="31">
        <f t="shared" si="2"/>
        <v>70</v>
      </c>
      <c r="N33" s="35" t="str">
        <f t="shared" si="3"/>
        <v>B-</v>
      </c>
      <c r="O33" s="35" t="str">
        <f t="shared" si="4"/>
        <v>MINUS</v>
      </c>
      <c r="Q33" s="36">
        <f>'All Marks'!H24</f>
        <v>70.14</v>
      </c>
      <c r="R33" s="37" t="b">
        <f t="shared" si="5"/>
        <v>1</v>
      </c>
    </row>
    <row r="34">
      <c r="A34" s="38">
        <v>24.0</v>
      </c>
      <c r="B34" s="32">
        <f>Worksheet!A25</f>
        <v>24301306</v>
      </c>
      <c r="C34" s="32" t="str">
        <f>Worksheet!B25</f>
        <v>Md Fahmudur Rahman Fahim</v>
      </c>
      <c r="D34" s="33"/>
      <c r="E34" s="33">
        <f>VLOOKUP(B34,'All Marks'!$A$3:$G$39,4,FALSE)</f>
        <v>12</v>
      </c>
      <c r="F34" s="33">
        <f>VLOOKUP(B34,'All Marks'!$A$3:$G$40,3,FALSE)</f>
        <v>5</v>
      </c>
      <c r="G34" s="33">
        <f>VLOOKUP(B34,'All Marks'!$A$3:$G$40,7,FALSE)</f>
        <v>6.78</v>
      </c>
      <c r="H34" s="33">
        <f>VLOOKUP(B34,'All Marks'!$A$3:$G$40,5,FALSE)</f>
        <v>8.3</v>
      </c>
      <c r="I34" s="33"/>
      <c r="J34" s="33"/>
      <c r="K34" s="33">
        <f>VLOOKUP(B34,'All Marks'!$A$3:$G$40,6,FALSE)</f>
        <v>18.8</v>
      </c>
      <c r="L34" s="38">
        <f t="shared" si="1"/>
        <v>50.88</v>
      </c>
      <c r="M34" s="39">
        <f t="shared" si="2"/>
        <v>51</v>
      </c>
      <c r="N34" s="40" t="str">
        <f t="shared" si="3"/>
        <v>D-</v>
      </c>
      <c r="O34" s="40" t="str">
        <f t="shared" si="4"/>
        <v>MINUS</v>
      </c>
      <c r="P34" s="41"/>
      <c r="Q34" s="36">
        <f>'All Marks'!H25</f>
        <v>50.88</v>
      </c>
      <c r="R34" s="37" t="b">
        <f t="shared" si="5"/>
        <v>1</v>
      </c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31">
        <v>25.0</v>
      </c>
      <c r="B35" s="32">
        <f>Worksheet!A26</f>
        <v>24301320</v>
      </c>
      <c r="C35" s="32" t="str">
        <f>Worksheet!B26</f>
        <v>Md Rafi Hasan</v>
      </c>
      <c r="D35" s="33"/>
      <c r="E35" s="33">
        <f>VLOOKUP(B35,'All Marks'!$A$3:$G$39,4,FALSE)</f>
        <v>17.33</v>
      </c>
      <c r="F35" s="33">
        <f>VLOOKUP(B35,'All Marks'!$A$3:$G$40,3,FALSE)</f>
        <v>5</v>
      </c>
      <c r="G35" s="33">
        <f>VLOOKUP(B35,'All Marks'!$A$3:$G$40,7,FALSE)</f>
        <v>25</v>
      </c>
      <c r="H35" s="33">
        <f>VLOOKUP(B35,'All Marks'!$A$3:$G$40,5,FALSE)</f>
        <v>17.8</v>
      </c>
      <c r="I35" s="33"/>
      <c r="J35" s="33"/>
      <c r="K35" s="33">
        <f>VLOOKUP(B35,'All Marks'!$A$3:$G$40,6,FALSE)</f>
        <v>24.8</v>
      </c>
      <c r="L35" s="34">
        <f t="shared" si="1"/>
        <v>89.93</v>
      </c>
      <c r="M35" s="31">
        <f t="shared" si="2"/>
        <v>90</v>
      </c>
      <c r="N35" s="35" t="str">
        <f t="shared" si="3"/>
        <v>A</v>
      </c>
      <c r="O35" s="35" t="str">
        <f t="shared" si="4"/>
        <v>PLAIN</v>
      </c>
      <c r="Q35" s="36">
        <f>'All Marks'!H26</f>
        <v>89.93</v>
      </c>
      <c r="R35" s="37" t="b">
        <f t="shared" si="5"/>
        <v>1</v>
      </c>
    </row>
    <row r="36">
      <c r="A36" s="34">
        <v>26.0</v>
      </c>
      <c r="B36" s="32">
        <f>Worksheet!A27</f>
        <v>24301321</v>
      </c>
      <c r="C36" s="32" t="str">
        <f>Worksheet!B27</f>
        <v>Nazif Ahmed Khan</v>
      </c>
      <c r="D36" s="33"/>
      <c r="E36" s="33">
        <f>VLOOKUP(B36,'All Marks'!$A$3:$G$39,4,FALSE)</f>
        <v>13.33</v>
      </c>
      <c r="F36" s="33">
        <f>VLOOKUP(B36,'All Marks'!$A$3:$G$40,3,FALSE)</f>
        <v>5</v>
      </c>
      <c r="G36" s="33">
        <f>VLOOKUP(B36,'All Marks'!$A$3:$G$40,7,FALSE)</f>
        <v>17.96</v>
      </c>
      <c r="H36" s="33">
        <f>VLOOKUP(B36,'All Marks'!$A$3:$G$40,5,FALSE)</f>
        <v>6.9</v>
      </c>
      <c r="I36" s="33"/>
      <c r="J36" s="33"/>
      <c r="K36" s="33">
        <f>VLOOKUP(B36,'All Marks'!$A$3:$G$40,6,FALSE)</f>
        <v>19.2</v>
      </c>
      <c r="L36" s="34">
        <f t="shared" si="1"/>
        <v>62.39</v>
      </c>
      <c r="M36" s="31">
        <f t="shared" si="2"/>
        <v>62</v>
      </c>
      <c r="N36" s="35" t="str">
        <f t="shared" si="3"/>
        <v>C</v>
      </c>
      <c r="O36" s="35" t="str">
        <f t="shared" si="4"/>
        <v>PLAIN</v>
      </c>
      <c r="Q36" s="36">
        <f>'All Marks'!H27</f>
        <v>62.39</v>
      </c>
      <c r="R36" s="37" t="b">
        <f t="shared" si="5"/>
        <v>1</v>
      </c>
    </row>
    <row r="37">
      <c r="A37" s="34">
        <v>27.0</v>
      </c>
      <c r="B37" s="32">
        <f>Worksheet!A28</f>
        <v>24301358</v>
      </c>
      <c r="C37" s="32" t="str">
        <f>Worksheet!B28</f>
        <v>Multazim Nazifa</v>
      </c>
      <c r="D37" s="33"/>
      <c r="E37" s="33">
        <f>VLOOKUP(B37,'All Marks'!$A$3:$G$39,4,FALSE)</f>
        <v>20</v>
      </c>
      <c r="F37" s="33">
        <f>VLOOKUP(B37,'All Marks'!$A$3:$G$40,3,FALSE)</f>
        <v>5</v>
      </c>
      <c r="G37" s="33">
        <f>VLOOKUP(B37,'All Marks'!$A$3:$G$40,7,FALSE)</f>
        <v>7.34</v>
      </c>
      <c r="H37" s="33">
        <f>VLOOKUP(B37,'All Marks'!$A$3:$G$40,5,FALSE)</f>
        <v>15.5</v>
      </c>
      <c r="I37" s="33"/>
      <c r="J37" s="33"/>
      <c r="K37" s="33">
        <f>VLOOKUP(B37,'All Marks'!$A$3:$G$40,6,FALSE)</f>
        <v>26.7</v>
      </c>
      <c r="L37" s="34">
        <f t="shared" si="1"/>
        <v>74.54</v>
      </c>
      <c r="M37" s="31">
        <f t="shared" si="2"/>
        <v>75</v>
      </c>
      <c r="N37" s="35" t="str">
        <f t="shared" si="3"/>
        <v>B</v>
      </c>
      <c r="O37" s="35" t="str">
        <f t="shared" si="4"/>
        <v>PLAIN</v>
      </c>
      <c r="Q37" s="36">
        <f>'All Marks'!H28</f>
        <v>74.54</v>
      </c>
      <c r="R37" s="37" t="b">
        <f t="shared" si="5"/>
        <v>1</v>
      </c>
    </row>
    <row r="38">
      <c r="A38" s="31">
        <v>28.0</v>
      </c>
      <c r="B38" s="32">
        <f>Worksheet!A29</f>
        <v>24301367</v>
      </c>
      <c r="C38" s="32" t="str">
        <f>Worksheet!B29</f>
        <v>Wazed Alam Wafi</v>
      </c>
      <c r="D38" s="33"/>
      <c r="E38" s="33">
        <f>VLOOKUP(B38,'All Marks'!$A$3:$G$39,4,FALSE)</f>
        <v>14.66</v>
      </c>
      <c r="F38" s="33">
        <f>VLOOKUP(B38,'All Marks'!$A$3:$G$40,3,FALSE)</f>
        <v>5</v>
      </c>
      <c r="G38" s="33">
        <f>VLOOKUP(B38,'All Marks'!$A$3:$G$40,7,FALSE)</f>
        <v>5.25</v>
      </c>
      <c r="H38" s="33">
        <f>VLOOKUP(B38,'All Marks'!$A$3:$G$40,5,FALSE)</f>
        <v>13.8</v>
      </c>
      <c r="I38" s="33"/>
      <c r="J38" s="33"/>
      <c r="K38" s="33">
        <f>VLOOKUP(B38,'All Marks'!$A$3:$G$40,6,FALSE)</f>
        <v>21</v>
      </c>
      <c r="L38" s="34">
        <f t="shared" si="1"/>
        <v>59.71</v>
      </c>
      <c r="M38" s="31">
        <f t="shared" si="2"/>
        <v>60</v>
      </c>
      <c r="N38" s="35" t="str">
        <f t="shared" si="3"/>
        <v>C</v>
      </c>
      <c r="O38" s="35" t="str">
        <f t="shared" si="4"/>
        <v>PLAIN</v>
      </c>
      <c r="Q38" s="36">
        <f>'All Marks'!H29</f>
        <v>59.71</v>
      </c>
      <c r="R38" s="37" t="b">
        <f t="shared" si="5"/>
        <v>1</v>
      </c>
    </row>
    <row r="39">
      <c r="A39" s="34">
        <v>29.0</v>
      </c>
      <c r="B39" s="32">
        <f>Worksheet!A30</f>
        <v>24301375</v>
      </c>
      <c r="C39" s="32" t="str">
        <f>Worksheet!B30</f>
        <v>Mohammad Riham Alam</v>
      </c>
      <c r="D39" s="33"/>
      <c r="E39" s="33">
        <f>VLOOKUP(B39,'All Marks'!$A$3:$G$39,4,FALSE)</f>
        <v>15.33</v>
      </c>
      <c r="F39" s="33">
        <f>VLOOKUP(B39,'All Marks'!$A$3:$G$40,3,FALSE)</f>
        <v>5</v>
      </c>
      <c r="G39" s="33">
        <f>VLOOKUP(B39,'All Marks'!$A$3:$G$40,7,FALSE)</f>
        <v>9.34</v>
      </c>
      <c r="H39" s="33">
        <f>VLOOKUP(B39,'All Marks'!$A$3:$G$40,5,FALSE)</f>
        <v>10</v>
      </c>
      <c r="I39" s="33"/>
      <c r="J39" s="33"/>
      <c r="K39" s="33">
        <f>VLOOKUP(B39,'All Marks'!$A$3:$G$40,6,FALSE)</f>
        <v>25.2</v>
      </c>
      <c r="L39" s="34">
        <f t="shared" si="1"/>
        <v>64.87</v>
      </c>
      <c r="M39" s="31">
        <f t="shared" si="2"/>
        <v>65</v>
      </c>
      <c r="N39" s="35" t="str">
        <f t="shared" si="3"/>
        <v>C+</v>
      </c>
      <c r="O39" s="35" t="str">
        <f t="shared" si="4"/>
        <v>PLUS</v>
      </c>
      <c r="Q39" s="36">
        <f>'All Marks'!H30</f>
        <v>64.87</v>
      </c>
      <c r="R39" s="37" t="b">
        <f t="shared" si="5"/>
        <v>1</v>
      </c>
    </row>
    <row r="40">
      <c r="A40" s="34">
        <v>30.0</v>
      </c>
      <c r="B40" s="32">
        <f>Worksheet!A31</f>
        <v>24301420</v>
      </c>
      <c r="C40" s="32" t="str">
        <f>Worksheet!B31</f>
        <v>Aronno Bless Rebeiro</v>
      </c>
      <c r="D40" s="33"/>
      <c r="E40" s="33">
        <f>VLOOKUP(B40,'All Marks'!$A$3:$G$39,4,FALSE)</f>
        <v>13.33</v>
      </c>
      <c r="F40" s="33">
        <f>VLOOKUP(B40,'All Marks'!$A$3:$G$40,3,FALSE)</f>
        <v>5</v>
      </c>
      <c r="G40" s="33">
        <f>VLOOKUP(B40,'All Marks'!$A$3:$G$40,7,FALSE)</f>
        <v>5.24</v>
      </c>
      <c r="H40" s="33">
        <f>VLOOKUP(B40,'All Marks'!$A$3:$G$40,5,FALSE)</f>
        <v>8.6</v>
      </c>
      <c r="I40" s="33"/>
      <c r="J40" s="33"/>
      <c r="K40" s="33">
        <f>VLOOKUP(B40,'All Marks'!$A$3:$G$40,6,FALSE)</f>
        <v>22.9</v>
      </c>
      <c r="L40" s="34">
        <f t="shared" si="1"/>
        <v>55.07</v>
      </c>
      <c r="M40" s="31">
        <f t="shared" si="2"/>
        <v>55</v>
      </c>
      <c r="N40" s="35" t="str">
        <f t="shared" si="3"/>
        <v>D+</v>
      </c>
      <c r="O40" s="35" t="str">
        <f t="shared" si="4"/>
        <v>PLUS</v>
      </c>
      <c r="Q40" s="36">
        <f>'All Marks'!H31</f>
        <v>55.07</v>
      </c>
      <c r="R40" s="37" t="b">
        <f t="shared" si="5"/>
        <v>1</v>
      </c>
    </row>
    <row r="41">
      <c r="A41" s="31">
        <v>31.0</v>
      </c>
      <c r="B41" s="32">
        <f>Worksheet!A32</f>
        <v>24301451</v>
      </c>
      <c r="C41" s="32" t="str">
        <f>Worksheet!B32</f>
        <v>Sampurna Dey</v>
      </c>
      <c r="D41" s="33"/>
      <c r="E41" s="33">
        <f>VLOOKUP(B41,'All Marks'!$A$3:$G$39,4,FALSE)</f>
        <v>20</v>
      </c>
      <c r="F41" s="33">
        <f>VLOOKUP(B41,'All Marks'!$A$3:$G$40,3,FALSE)</f>
        <v>5</v>
      </c>
      <c r="G41" s="33">
        <f>VLOOKUP(B41,'All Marks'!$A$3:$G$40,7,FALSE)</f>
        <v>5</v>
      </c>
      <c r="H41" s="33">
        <f>VLOOKUP(B41,'All Marks'!$A$3:$G$40,5,FALSE)</f>
        <v>9.8</v>
      </c>
      <c r="I41" s="33"/>
      <c r="J41" s="33"/>
      <c r="K41" s="33">
        <f>VLOOKUP(B41,'All Marks'!$A$3:$G$40,6,FALSE)</f>
        <v>22.5</v>
      </c>
      <c r="L41" s="34">
        <f t="shared" si="1"/>
        <v>62.3</v>
      </c>
      <c r="M41" s="31">
        <f t="shared" si="2"/>
        <v>62</v>
      </c>
      <c r="N41" s="35" t="str">
        <f t="shared" si="3"/>
        <v>C</v>
      </c>
      <c r="O41" s="35" t="str">
        <f t="shared" si="4"/>
        <v>PLAIN</v>
      </c>
      <c r="Q41" s="36">
        <f>'All Marks'!H32</f>
        <v>62.3</v>
      </c>
      <c r="R41" s="37" t="b">
        <f t="shared" si="5"/>
        <v>1</v>
      </c>
    </row>
    <row r="42">
      <c r="A42" s="34">
        <v>32.0</v>
      </c>
      <c r="B42" s="32">
        <f>Worksheet!A33</f>
        <v>24301484</v>
      </c>
      <c r="C42" s="32" t="str">
        <f>Worksheet!B33</f>
        <v>Md. Iftekhar Haque Iftee</v>
      </c>
      <c r="D42" s="33"/>
      <c r="E42" s="33">
        <f>VLOOKUP(B42,'All Marks'!$A$3:$G$39,4,FALSE)</f>
        <v>20</v>
      </c>
      <c r="F42" s="33">
        <f>VLOOKUP(B42,'All Marks'!$A$3:$G$40,3,FALSE)</f>
        <v>5</v>
      </c>
      <c r="G42" s="33">
        <f>VLOOKUP(B42,'All Marks'!$A$3:$G$40,7,FALSE)</f>
        <v>17.16</v>
      </c>
      <c r="H42" s="33">
        <f>VLOOKUP(B42,'All Marks'!$A$3:$G$40,5,FALSE)</f>
        <v>16</v>
      </c>
      <c r="I42" s="33"/>
      <c r="J42" s="33"/>
      <c r="K42" s="33">
        <f>VLOOKUP(B42,'All Marks'!$A$3:$G$40,6,FALSE)</f>
        <v>26.7</v>
      </c>
      <c r="L42" s="34">
        <f t="shared" si="1"/>
        <v>84.86</v>
      </c>
      <c r="M42" s="31">
        <f t="shared" si="2"/>
        <v>85</v>
      </c>
      <c r="N42" s="35" t="str">
        <f t="shared" si="3"/>
        <v>A-</v>
      </c>
      <c r="O42" s="35" t="str">
        <f t="shared" si="4"/>
        <v>MINUS</v>
      </c>
      <c r="Q42" s="36">
        <f>'All Marks'!H33</f>
        <v>84.86</v>
      </c>
      <c r="R42" s="37" t="b">
        <f t="shared" si="5"/>
        <v>1</v>
      </c>
    </row>
    <row r="43">
      <c r="A43" s="34">
        <v>33.0</v>
      </c>
      <c r="B43" s="32">
        <f>Worksheet!A34</f>
        <v>24301499</v>
      </c>
      <c r="C43" s="32" t="str">
        <f>Worksheet!B34</f>
        <v>Zarifah Morshed Nuren</v>
      </c>
      <c r="D43" s="33"/>
      <c r="E43" s="33">
        <f>VLOOKUP(B43,'All Marks'!$A$3:$G$39,4,FALSE)</f>
        <v>20</v>
      </c>
      <c r="F43" s="33">
        <f>VLOOKUP(B43,'All Marks'!$A$3:$G$40,3,FALSE)</f>
        <v>5</v>
      </c>
      <c r="G43" s="33">
        <f>VLOOKUP(B43,'All Marks'!$A$3:$G$40,7,FALSE)</f>
        <v>5</v>
      </c>
      <c r="H43" s="33">
        <f>VLOOKUP(B43,'All Marks'!$A$3:$G$40,5,FALSE)</f>
        <v>13.5</v>
      </c>
      <c r="I43" s="33"/>
      <c r="J43" s="33"/>
      <c r="K43" s="33">
        <f>VLOOKUP(B43,'All Marks'!$A$3:$G$40,6,FALSE)</f>
        <v>26.3</v>
      </c>
      <c r="L43" s="34">
        <f t="shared" si="1"/>
        <v>69.8</v>
      </c>
      <c r="M43" s="31">
        <f t="shared" si="2"/>
        <v>70</v>
      </c>
      <c r="N43" s="35" t="str">
        <f t="shared" si="3"/>
        <v>B-</v>
      </c>
      <c r="O43" s="35" t="str">
        <f t="shared" si="4"/>
        <v>MINUS</v>
      </c>
      <c r="Q43" s="36">
        <f>'All Marks'!H34</f>
        <v>69.8</v>
      </c>
      <c r="R43" s="37" t="b">
        <f t="shared" si="5"/>
        <v>1</v>
      </c>
    </row>
    <row r="44">
      <c r="A44" s="31">
        <v>34.0</v>
      </c>
      <c r="B44" s="32">
        <f>Worksheet!A35</f>
        <v>24301519</v>
      </c>
      <c r="C44" s="32" t="str">
        <f>Worksheet!B35</f>
        <v>Monira Mehjabeen Eva</v>
      </c>
      <c r="D44" s="33"/>
      <c r="E44" s="33">
        <f>VLOOKUP(B44,'All Marks'!$A$3:$G$39,4,FALSE)</f>
        <v>20</v>
      </c>
      <c r="F44" s="33">
        <f>VLOOKUP(B44,'All Marks'!$A$3:$G$40,3,FALSE)</f>
        <v>5</v>
      </c>
      <c r="G44" s="33">
        <f>VLOOKUP(B44,'All Marks'!$A$3:$G$40,7,FALSE)</f>
        <v>5</v>
      </c>
      <c r="H44" s="33">
        <f>VLOOKUP(B44,'All Marks'!$A$3:$G$40,5,FALSE)</f>
        <v>11.8</v>
      </c>
      <c r="I44" s="33"/>
      <c r="J44" s="33"/>
      <c r="K44" s="33">
        <f>VLOOKUP(B44,'All Marks'!$A$3:$G$40,6,FALSE)</f>
        <v>25.5</v>
      </c>
      <c r="L44" s="34">
        <f t="shared" si="1"/>
        <v>67.3</v>
      </c>
      <c r="M44" s="31">
        <f t="shared" si="2"/>
        <v>67</v>
      </c>
      <c r="N44" s="35" t="str">
        <f t="shared" si="3"/>
        <v>C+</v>
      </c>
      <c r="O44" s="35" t="str">
        <f t="shared" si="4"/>
        <v>PLUS</v>
      </c>
      <c r="Q44" s="36">
        <f>'All Marks'!H35</f>
        <v>67.3</v>
      </c>
      <c r="R44" s="37" t="b">
        <f t="shared" si="5"/>
        <v>1</v>
      </c>
    </row>
    <row r="45">
      <c r="A45" s="34">
        <v>35.0</v>
      </c>
      <c r="B45" s="32">
        <f>Worksheet!A36</f>
        <v>24301546</v>
      </c>
      <c r="C45" s="32" t="str">
        <f>Worksheet!B36</f>
        <v>Manjurul Ahsan Hemel</v>
      </c>
      <c r="D45" s="33"/>
      <c r="E45" s="33">
        <f>VLOOKUP(B45,'All Marks'!$A$3:$G$39,4,FALSE)</f>
        <v>16.66</v>
      </c>
      <c r="F45" s="33">
        <f>VLOOKUP(B45,'All Marks'!$A$3:$G$40,3,FALSE)</f>
        <v>5</v>
      </c>
      <c r="G45" s="33">
        <f>VLOOKUP(B45,'All Marks'!$A$3:$G$40,7,FALSE)</f>
        <v>3.65</v>
      </c>
      <c r="H45" s="33">
        <f>VLOOKUP(B45,'All Marks'!$A$3:$G$40,5,FALSE)</f>
        <v>5</v>
      </c>
      <c r="I45" s="33"/>
      <c r="J45" s="33"/>
      <c r="K45" s="33">
        <f>VLOOKUP(B45,'All Marks'!$A$3:$G$40,6,FALSE)</f>
        <v>20</v>
      </c>
      <c r="L45" s="34">
        <f t="shared" si="1"/>
        <v>50.31</v>
      </c>
      <c r="M45" s="31">
        <f t="shared" si="2"/>
        <v>50</v>
      </c>
      <c r="N45" s="35" t="str">
        <f t="shared" si="3"/>
        <v>D-</v>
      </c>
      <c r="O45" s="35" t="str">
        <f t="shared" si="4"/>
        <v>MINUS</v>
      </c>
      <c r="Q45" s="36">
        <f>'All Marks'!H36</f>
        <v>50.31</v>
      </c>
      <c r="R45" s="37" t="b">
        <f t="shared" si="5"/>
        <v>1</v>
      </c>
    </row>
    <row r="46">
      <c r="A46" s="34">
        <v>36.0</v>
      </c>
      <c r="B46" s="32">
        <f>Worksheet!A37</f>
        <v>24315010</v>
      </c>
      <c r="C46" s="32" t="str">
        <f>Worksheet!B37</f>
        <v>Saadat Khan</v>
      </c>
      <c r="D46" s="33"/>
      <c r="E46" s="33">
        <f>VLOOKUP(B46,'All Marks'!$A$3:$G$39,4,FALSE)</f>
        <v>14</v>
      </c>
      <c r="F46" s="33">
        <f>VLOOKUP(B46,'All Marks'!$A$3:$G$40,3,FALSE)</f>
        <v>5</v>
      </c>
      <c r="G46" s="33">
        <f>VLOOKUP(B46,'All Marks'!$A$3:$G$40,7,FALSE)</f>
        <v>10.34</v>
      </c>
      <c r="H46" s="33">
        <f>VLOOKUP(B46,'All Marks'!$A$3:$G$40,5,FALSE)</f>
        <v>9.2</v>
      </c>
      <c r="I46" s="33"/>
      <c r="J46" s="33"/>
      <c r="K46" s="33">
        <f>VLOOKUP(B46,'All Marks'!$A$3:$G$40,6,FALSE)</f>
        <v>16.5</v>
      </c>
      <c r="L46" s="34">
        <f t="shared" si="1"/>
        <v>55.04</v>
      </c>
      <c r="M46" s="31">
        <f t="shared" si="2"/>
        <v>55</v>
      </c>
      <c r="N46" s="35" t="str">
        <f t="shared" si="3"/>
        <v>D+</v>
      </c>
      <c r="O46" s="35" t="str">
        <f t="shared" si="4"/>
        <v>PLUS</v>
      </c>
      <c r="Q46" s="36">
        <f>'All Marks'!H37</f>
        <v>55.04</v>
      </c>
      <c r="R46" s="37" t="b">
        <f t="shared" si="5"/>
        <v>1</v>
      </c>
    </row>
    <row r="47">
      <c r="A47" s="31">
        <v>37.0</v>
      </c>
      <c r="B47" s="32">
        <f>Worksheet!A38</f>
        <v>24321222</v>
      </c>
      <c r="C47" s="32" t="str">
        <f>Worksheet!B38</f>
        <v>Mir Mainul Ahmed</v>
      </c>
      <c r="D47" s="33"/>
      <c r="E47" s="33">
        <f>VLOOKUP(B47,'All Marks'!$A$3:$G$39,4,FALSE)</f>
        <v>20</v>
      </c>
      <c r="F47" s="33">
        <f>VLOOKUP(B47,'All Marks'!$A$3:$G$40,3,FALSE)</f>
        <v>5</v>
      </c>
      <c r="G47" s="33">
        <f>VLOOKUP(B47,'All Marks'!$A$3:$G$40,7,FALSE)</f>
        <v>18.34</v>
      </c>
      <c r="H47" s="33">
        <f>VLOOKUP(B47,'All Marks'!$A$3:$G$40,5,FALSE)</f>
        <v>11.8</v>
      </c>
      <c r="I47" s="33"/>
      <c r="J47" s="33"/>
      <c r="K47" s="33">
        <f>VLOOKUP(B47,'All Marks'!$A$3:$G$40,6,FALSE)</f>
        <v>24.4</v>
      </c>
      <c r="L47" s="34">
        <f t="shared" si="1"/>
        <v>79.54</v>
      </c>
      <c r="M47" s="31">
        <f t="shared" si="2"/>
        <v>80</v>
      </c>
      <c r="N47" s="35" t="str">
        <f t="shared" si="3"/>
        <v>B+</v>
      </c>
      <c r="O47" s="35" t="str">
        <f t="shared" si="4"/>
        <v>PLUS</v>
      </c>
      <c r="Q47" s="36">
        <f>'All Marks'!H38</f>
        <v>79.54</v>
      </c>
      <c r="R47" s="37" t="b">
        <f t="shared" si="5"/>
        <v>1</v>
      </c>
    </row>
    <row r="48">
      <c r="Q48" s="42"/>
      <c r="R48" s="36">
        <f>COUNTIF(R11:R47,"=TRUE")</f>
        <v>37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9.0"/>
    <col customWidth="1" min="4" max="4" width="13.0"/>
    <col customWidth="1" min="7" max="7" width="9.0"/>
  </cols>
  <sheetData>
    <row r="1" ht="85.5" customHeight="1">
      <c r="A1" s="43" t="s">
        <v>106</v>
      </c>
      <c r="B1" s="44" t="s">
        <v>1</v>
      </c>
      <c r="C1" s="45" t="str">
        <f>Assignment!G1</f>
        <v>Assignment    (out of 5)</v>
      </c>
      <c r="D1" s="45" t="str">
        <f>Quiz!M1</f>
        <v>Overall Quiz score   (Out of 20)           best (n-1) without bonus</v>
      </c>
      <c r="E1" s="45" t="str">
        <f>'Mid+Final'!D2</f>
        <v>Midterm (20)</v>
      </c>
      <c r="F1" s="45" t="str">
        <f>'Mid+Final'!M2</f>
        <v>Final(30)</v>
      </c>
      <c r="G1" s="43" t="s">
        <v>107</v>
      </c>
      <c r="H1" s="46" t="s">
        <v>108</v>
      </c>
    </row>
    <row r="2">
      <c r="A2" s="47">
        <f>Worksheet!A2</f>
        <v>22101165</v>
      </c>
      <c r="B2" s="48" t="str">
        <f>Worksheet!B2</f>
        <v>Asif Mahmud</v>
      </c>
      <c r="C2" s="49">
        <f>Assignment!G2</f>
        <v>0</v>
      </c>
      <c r="D2" s="49">
        <f>Quiz!M2</f>
        <v>15.66</v>
      </c>
      <c r="E2" s="49">
        <f>'Mid+Final'!D3</f>
        <v>12.3</v>
      </c>
      <c r="F2" s="49">
        <f>'Mid+Final'!M3</f>
        <v>19.9</v>
      </c>
      <c r="G2" s="49">
        <f>IFERROR(ROUNDUP(VLOOKUP(A2,Lab!$A$2:$B$39,2,False),2),0)</f>
        <v>2.56</v>
      </c>
      <c r="H2" s="50">
        <f t="shared" ref="H2:H38" si="1">RoundUp(sum(C2:G2),2)</f>
        <v>50.42</v>
      </c>
    </row>
    <row r="3">
      <c r="A3" s="47">
        <f>Worksheet!A3</f>
        <v>22101192</v>
      </c>
      <c r="B3" s="48" t="str">
        <f>Worksheet!B3</f>
        <v>Maliha Anan Promi</v>
      </c>
      <c r="C3" s="49">
        <f>Assignment!G3</f>
        <v>5</v>
      </c>
      <c r="D3" s="49">
        <f>Quiz!M3</f>
        <v>13.33</v>
      </c>
      <c r="E3" s="49">
        <f>'Mid+Final'!D4</f>
        <v>8.9</v>
      </c>
      <c r="F3" s="49">
        <f>'Mid+Final'!M4</f>
        <v>9.8</v>
      </c>
      <c r="G3" s="49">
        <f>IFERROR(ROUNDUP(VLOOKUP(A3,Lab!$A$2:$B$39,2,False),2),0)</f>
        <v>0.48</v>
      </c>
      <c r="H3" s="50">
        <f t="shared" si="1"/>
        <v>37.51</v>
      </c>
    </row>
    <row r="4">
      <c r="A4" s="47">
        <f>Worksheet!A4</f>
        <v>22101297</v>
      </c>
      <c r="B4" s="48" t="str">
        <f>Worksheet!B4</f>
        <v>Parthib Biswas</v>
      </c>
      <c r="C4" s="49">
        <f>Assignment!G4</f>
        <v>3.75</v>
      </c>
      <c r="D4" s="49">
        <f>Quiz!M4</f>
        <v>9.33</v>
      </c>
      <c r="E4" s="49">
        <f>'Mid+Final'!D5</f>
        <v>7.5</v>
      </c>
      <c r="F4" s="49">
        <f>'Mid+Final'!M5</f>
        <v>14.3</v>
      </c>
      <c r="G4" s="49">
        <f>IFERROR(ROUNDUP(VLOOKUP(A4,Lab!$A$2:$B$39,2,False),2),0)</f>
        <v>4.82</v>
      </c>
      <c r="H4" s="50">
        <f t="shared" si="1"/>
        <v>39.7</v>
      </c>
    </row>
    <row r="5">
      <c r="A5" s="47">
        <f>Worksheet!A5</f>
        <v>22201706</v>
      </c>
      <c r="B5" s="48" t="str">
        <f>Worksheet!B5</f>
        <v>Sadnan Basher</v>
      </c>
      <c r="C5" s="49">
        <f>Assignment!G5</f>
        <v>3.75</v>
      </c>
      <c r="D5" s="49">
        <f>Quiz!M5</f>
        <v>8.66</v>
      </c>
      <c r="E5" s="49">
        <f>'Mid+Final'!D6</f>
        <v>2.9</v>
      </c>
      <c r="F5" s="49">
        <f>'Mid+Final'!M6</f>
        <v>1.5</v>
      </c>
      <c r="G5" s="49">
        <f>IFERROR(ROUNDUP(VLOOKUP(A5,Lab!$A$2:$B$39,2,False),2),0)</f>
        <v>5</v>
      </c>
      <c r="H5" s="50">
        <f t="shared" si="1"/>
        <v>21.81</v>
      </c>
    </row>
    <row r="6">
      <c r="A6" s="47">
        <f>Worksheet!A6</f>
        <v>22301485</v>
      </c>
      <c r="B6" s="48" t="str">
        <f>Worksheet!B6</f>
        <v>Tamal Kumar Dey</v>
      </c>
      <c r="C6" s="49">
        <f>Assignment!G6</f>
        <v>5</v>
      </c>
      <c r="D6" s="49">
        <f>Quiz!M6</f>
        <v>17.33</v>
      </c>
      <c r="E6" s="49">
        <f>'Mid+Final'!D7</f>
        <v>8.9</v>
      </c>
      <c r="F6" s="49">
        <f>'Mid+Final'!M7</f>
        <v>18</v>
      </c>
      <c r="G6" s="49">
        <f>IFERROR(ROUNDUP(VLOOKUP(A6,Lab!$A$2:$B$39,2,False),2),0)</f>
        <v>0.85</v>
      </c>
      <c r="H6" s="50">
        <f t="shared" si="1"/>
        <v>50.08</v>
      </c>
    </row>
    <row r="7">
      <c r="A7" s="47">
        <f>Worksheet!A7</f>
        <v>22301581</v>
      </c>
      <c r="B7" s="48" t="str">
        <f>Worksheet!B7</f>
        <v>Rufaida Zoon Raiyan</v>
      </c>
      <c r="C7" s="49">
        <f>Assignment!G7</f>
        <v>5</v>
      </c>
      <c r="D7" s="49">
        <f>Quiz!M7</f>
        <v>13.66</v>
      </c>
      <c r="E7" s="49">
        <f>'Mid+Final'!D8</f>
        <v>8.3</v>
      </c>
      <c r="F7" s="49">
        <f>'Mid+Final'!M8</f>
        <v>22.9</v>
      </c>
      <c r="G7" s="49">
        <f>IFERROR(ROUNDUP(VLOOKUP(A7,Lab!$A$2:$B$39,2,False),2),0)</f>
        <v>0.67</v>
      </c>
      <c r="H7" s="50">
        <f t="shared" si="1"/>
        <v>50.53</v>
      </c>
    </row>
    <row r="8">
      <c r="A8" s="47">
        <f>Worksheet!A8</f>
        <v>23101152</v>
      </c>
      <c r="B8" s="48" t="str">
        <f>Worksheet!B8</f>
        <v>Shihabul Ishraq Tanim</v>
      </c>
      <c r="C8" s="49">
        <f>Assignment!G8</f>
        <v>5</v>
      </c>
      <c r="D8" s="49">
        <f>Quiz!M8</f>
        <v>15.66</v>
      </c>
      <c r="E8" s="49">
        <f>'Mid+Final'!D9</f>
        <v>7.5</v>
      </c>
      <c r="F8" s="49">
        <f>'Mid+Final'!M9</f>
        <v>15</v>
      </c>
      <c r="G8" s="49">
        <f>IFERROR(ROUNDUP(VLOOKUP(A8,Lab!$A$2:$B$39,2,False),2),0)</f>
        <v>8.46</v>
      </c>
      <c r="H8" s="50">
        <f t="shared" si="1"/>
        <v>51.62</v>
      </c>
    </row>
    <row r="9">
      <c r="A9" s="47">
        <f>Worksheet!A9</f>
        <v>23101196</v>
      </c>
      <c r="B9" s="48" t="str">
        <f>Worksheet!B9</f>
        <v>Nandini Das Jhumu</v>
      </c>
      <c r="C9" s="49">
        <f>Assignment!G9</f>
        <v>5</v>
      </c>
      <c r="D9" s="49">
        <f>Quiz!M9</f>
        <v>17.33</v>
      </c>
      <c r="E9" s="49">
        <f>'Mid+Final'!D10</f>
        <v>11.5</v>
      </c>
      <c r="F9" s="49">
        <f>'Mid+Final'!M10</f>
        <v>21</v>
      </c>
      <c r="G9" s="49">
        <f>IFERROR(ROUNDUP(VLOOKUP(A9,Lab!$A$2:$B$39,2,False),2),0)</f>
        <v>4.91</v>
      </c>
      <c r="H9" s="50">
        <f t="shared" si="1"/>
        <v>59.74</v>
      </c>
    </row>
    <row r="10">
      <c r="A10" s="47">
        <f>Worksheet!A10</f>
        <v>23201055</v>
      </c>
      <c r="B10" s="48" t="str">
        <f>Worksheet!B10</f>
        <v>Ridwanul Azim</v>
      </c>
      <c r="C10" s="49">
        <f>Assignment!G10</f>
        <v>0</v>
      </c>
      <c r="D10" s="49">
        <f>Quiz!M10</f>
        <v>2</v>
      </c>
      <c r="E10" s="49">
        <f>'Mid+Final'!D11</f>
        <v>0</v>
      </c>
      <c r="F10" s="49">
        <f>'Mid+Final'!M11</f>
        <v>0</v>
      </c>
      <c r="G10" s="49">
        <f>IFERROR(ROUNDUP(VLOOKUP(A10,Lab!$A$2:$B$39,2,False),2),0)</f>
        <v>0</v>
      </c>
      <c r="H10" s="50">
        <f t="shared" si="1"/>
        <v>2</v>
      </c>
    </row>
    <row r="11">
      <c r="A11" s="47">
        <f>Worksheet!A11</f>
        <v>23301401</v>
      </c>
      <c r="B11" s="48" t="str">
        <f>Worksheet!B11</f>
        <v>Saddat Hossain Sifat</v>
      </c>
      <c r="C11" s="49">
        <f>Assignment!G11</f>
        <v>5</v>
      </c>
      <c r="D11" s="49">
        <f>Quiz!M11</f>
        <v>19.33</v>
      </c>
      <c r="E11" s="49">
        <f>'Mid+Final'!D12</f>
        <v>13.2</v>
      </c>
      <c r="F11" s="49">
        <f>'Mid+Final'!M12</f>
        <v>27.8</v>
      </c>
      <c r="G11" s="49">
        <f>IFERROR(ROUNDUP(VLOOKUP(A11,Lab!$A$2:$B$39,2,False),2),0)</f>
        <v>21.29</v>
      </c>
      <c r="H11" s="50">
        <f t="shared" si="1"/>
        <v>86.62</v>
      </c>
    </row>
    <row r="12">
      <c r="A12" s="47">
        <f>Worksheet!A12</f>
        <v>24101043</v>
      </c>
      <c r="B12" s="48" t="str">
        <f>Worksheet!B12</f>
        <v>Md Abu Noman Kabbo</v>
      </c>
      <c r="C12" s="49">
        <f>Assignment!G12</f>
        <v>0</v>
      </c>
      <c r="D12" s="49">
        <f>Quiz!M12</f>
        <v>5.33</v>
      </c>
      <c r="E12" s="49">
        <f>'Mid+Final'!D13</f>
        <v>10.6</v>
      </c>
      <c r="F12" s="49">
        <f>'Mid+Final'!M13</f>
        <v>0</v>
      </c>
      <c r="G12" s="49">
        <f>IFERROR(ROUNDUP(VLOOKUP(A12,Lab!$A$2:$B$39,2,False),2),0)</f>
        <v>4.09</v>
      </c>
      <c r="H12" s="50">
        <f t="shared" si="1"/>
        <v>20.02</v>
      </c>
    </row>
    <row r="13">
      <c r="A13" s="47">
        <f>Worksheet!A13</f>
        <v>24101081</v>
      </c>
      <c r="B13" s="48" t="str">
        <f>Worksheet!B13</f>
        <v>Adil Abdullah Mahdi</v>
      </c>
      <c r="C13" s="49">
        <f>Assignment!G13</f>
        <v>5</v>
      </c>
      <c r="D13" s="49">
        <f>Quiz!M13</f>
        <v>17</v>
      </c>
      <c r="E13" s="49">
        <f>'Mid+Final'!D14</f>
        <v>8.6</v>
      </c>
      <c r="F13" s="49">
        <f>'Mid+Final'!M14</f>
        <v>23.3</v>
      </c>
      <c r="G13" s="49">
        <f>IFERROR(ROUNDUP(VLOOKUP(A13,Lab!$A$2:$B$39,2,False),2),0)</f>
        <v>2.84</v>
      </c>
      <c r="H13" s="50">
        <f t="shared" si="1"/>
        <v>56.74</v>
      </c>
    </row>
    <row r="14">
      <c r="A14" s="47">
        <f>Worksheet!A14</f>
        <v>24101103</v>
      </c>
      <c r="B14" s="48" t="str">
        <f>Worksheet!B14</f>
        <v>Zunayed Amin</v>
      </c>
      <c r="C14" s="49">
        <f>Assignment!G14</f>
        <v>5</v>
      </c>
      <c r="D14" s="49">
        <f>Quiz!M14</f>
        <v>18.66</v>
      </c>
      <c r="E14" s="49">
        <f>'Mid+Final'!D15</f>
        <v>7.8</v>
      </c>
      <c r="F14" s="49">
        <f>'Mid+Final'!M15</f>
        <v>21.8</v>
      </c>
      <c r="G14" s="49">
        <f>IFERROR(ROUNDUP(VLOOKUP(A14,Lab!$A$2:$B$39,2,False),2),0)</f>
        <v>3.97</v>
      </c>
      <c r="H14" s="50">
        <f t="shared" si="1"/>
        <v>57.23</v>
      </c>
    </row>
    <row r="15">
      <c r="A15" s="47">
        <f>Worksheet!A15</f>
        <v>24110031</v>
      </c>
      <c r="B15" s="48" t="str">
        <f>Worksheet!B15</f>
        <v>Sm Mostofa Morshed Sayeem</v>
      </c>
      <c r="C15" s="49">
        <f>Assignment!G15</f>
        <v>0</v>
      </c>
      <c r="D15" s="49">
        <f>Quiz!M15</f>
        <v>2</v>
      </c>
      <c r="E15" s="49">
        <f>'Mid+Final'!D16</f>
        <v>4.6</v>
      </c>
      <c r="F15" s="49">
        <f>'Mid+Final'!M16</f>
        <v>0</v>
      </c>
      <c r="G15" s="49">
        <f>IFERROR(ROUNDUP(VLOOKUP(A15,Lab!$A$2:$B$39,2,False),2),0)</f>
        <v>2.65</v>
      </c>
      <c r="H15" s="50">
        <f t="shared" si="1"/>
        <v>9.25</v>
      </c>
    </row>
    <row r="16">
      <c r="A16" s="47">
        <f>Worksheet!A16</f>
        <v>24201140</v>
      </c>
      <c r="B16" s="48" t="str">
        <f>Worksheet!B16</f>
        <v>Mehrab Rashid Mugdha</v>
      </c>
      <c r="C16" s="49">
        <f>Assignment!G16</f>
        <v>5</v>
      </c>
      <c r="D16" s="49">
        <f>Quiz!M16</f>
        <v>20</v>
      </c>
      <c r="E16" s="49">
        <f>'Mid+Final'!D17</f>
        <v>13.5</v>
      </c>
      <c r="F16" s="49">
        <f>'Mid+Final'!M17</f>
        <v>27.8</v>
      </c>
      <c r="G16" s="49">
        <f>IFERROR(ROUNDUP(VLOOKUP(A16,Lab!$A$2:$B$39,2,False),2),0)</f>
        <v>14.77</v>
      </c>
      <c r="H16" s="50">
        <f t="shared" si="1"/>
        <v>81.07</v>
      </c>
    </row>
    <row r="17">
      <c r="A17" s="47">
        <f>Worksheet!A17</f>
        <v>24301023</v>
      </c>
      <c r="B17" s="48" t="str">
        <f>Worksheet!B17</f>
        <v>Md Muhtasim Chowdhury</v>
      </c>
      <c r="C17" s="49">
        <f>Assignment!G17</f>
        <v>2.5</v>
      </c>
      <c r="D17" s="49">
        <f>Quiz!M17</f>
        <v>7.33</v>
      </c>
      <c r="E17" s="49">
        <f>'Mid+Final'!D18</f>
        <v>10.3</v>
      </c>
      <c r="F17" s="49">
        <f>'Mid+Final'!M18</f>
        <v>0</v>
      </c>
      <c r="G17" s="49">
        <f>IFERROR(ROUNDUP(VLOOKUP(A17,Lab!$A$2:$B$39,2,False),2),0)</f>
        <v>3.78</v>
      </c>
      <c r="H17" s="50">
        <f t="shared" si="1"/>
        <v>23.91</v>
      </c>
    </row>
    <row r="18">
      <c r="A18" s="47">
        <f>Worksheet!A18</f>
        <v>24301062</v>
      </c>
      <c r="B18" s="48" t="str">
        <f>Worksheet!B18</f>
        <v>Tahseen Zaman</v>
      </c>
      <c r="C18" s="49">
        <f>Assignment!G18</f>
        <v>5</v>
      </c>
      <c r="D18" s="49">
        <f>Quiz!M18</f>
        <v>19</v>
      </c>
      <c r="E18" s="49">
        <f>'Mid+Final'!D19</f>
        <v>10.3</v>
      </c>
      <c r="F18" s="49">
        <f>'Mid+Final'!M19</f>
        <v>12</v>
      </c>
      <c r="G18" s="49">
        <f>IFERROR(ROUNDUP(VLOOKUP(A18,Lab!$A$2:$B$39,2,False),2),0)</f>
        <v>18.34</v>
      </c>
      <c r="H18" s="50">
        <f t="shared" si="1"/>
        <v>64.64</v>
      </c>
    </row>
    <row r="19">
      <c r="A19" s="47">
        <f>Worksheet!A19</f>
        <v>24301066</v>
      </c>
      <c r="B19" s="48" t="str">
        <f>Worksheet!B19</f>
        <v>Lamia Iqbal</v>
      </c>
      <c r="C19" s="49">
        <f>Assignment!G19</f>
        <v>5</v>
      </c>
      <c r="D19" s="49">
        <f>Quiz!M19</f>
        <v>20</v>
      </c>
      <c r="E19" s="49">
        <f>'Mid+Final'!D20</f>
        <v>14.6</v>
      </c>
      <c r="F19" s="49">
        <f>'Mid+Final'!M20</f>
        <v>26.7</v>
      </c>
      <c r="G19" s="49">
        <f>IFERROR(ROUNDUP(VLOOKUP(A19,Lab!$A$2:$B$39,2,False),2),0)</f>
        <v>18.34</v>
      </c>
      <c r="H19" s="50">
        <f t="shared" si="1"/>
        <v>84.64</v>
      </c>
    </row>
    <row r="20">
      <c r="A20" s="47">
        <f>Worksheet!A20</f>
        <v>24301073</v>
      </c>
      <c r="B20" s="48" t="str">
        <f>Worksheet!B20</f>
        <v>Rafid Bin Nasir</v>
      </c>
      <c r="C20" s="49">
        <f>Assignment!G20</f>
        <v>3.75</v>
      </c>
      <c r="D20" s="49">
        <f>Quiz!M20</f>
        <v>18</v>
      </c>
      <c r="E20" s="49">
        <f>'Mid+Final'!D21</f>
        <v>14</v>
      </c>
      <c r="F20" s="49">
        <f>'Mid+Final'!M21</f>
        <v>25.9</v>
      </c>
      <c r="G20" s="49">
        <f>IFERROR(ROUNDUP(VLOOKUP(A20,Lab!$A$2:$B$39,2,False),2),0)</f>
        <v>14.34</v>
      </c>
      <c r="H20" s="50">
        <f t="shared" si="1"/>
        <v>75.99</v>
      </c>
    </row>
    <row r="21">
      <c r="A21" s="47">
        <f>Worksheet!A21</f>
        <v>24301181</v>
      </c>
      <c r="B21" s="48" t="str">
        <f>Worksheet!B21</f>
        <v>Md Mahi Hyder</v>
      </c>
      <c r="C21" s="49">
        <f>Assignment!G21</f>
        <v>3.75</v>
      </c>
      <c r="D21" s="49">
        <f>Quiz!M21</f>
        <v>14.66</v>
      </c>
      <c r="E21" s="49">
        <f>'Mid+Final'!D22</f>
        <v>10.3</v>
      </c>
      <c r="F21" s="49">
        <f>'Mid+Final'!M22</f>
        <v>26.3</v>
      </c>
      <c r="G21" s="49">
        <f>IFERROR(ROUNDUP(VLOOKUP(A21,Lab!$A$2:$B$39,2,False),2),0)</f>
        <v>5</v>
      </c>
      <c r="H21" s="50">
        <f t="shared" si="1"/>
        <v>60.01</v>
      </c>
    </row>
    <row r="22">
      <c r="A22" s="47">
        <f>Worksheet!A22</f>
        <v>24301184</v>
      </c>
      <c r="B22" s="48" t="str">
        <f>Worksheet!B22</f>
        <v>Md. Abrar Faiyaz</v>
      </c>
      <c r="C22" s="49">
        <f>Assignment!G22</f>
        <v>5</v>
      </c>
      <c r="D22" s="49">
        <f>Quiz!M22</f>
        <v>20</v>
      </c>
      <c r="E22" s="49">
        <f>'Mid+Final'!D23</f>
        <v>16.3</v>
      </c>
      <c r="F22" s="49">
        <f>'Mid+Final'!M23</f>
        <v>26.3</v>
      </c>
      <c r="G22" s="49">
        <f>IFERROR(ROUNDUP(VLOOKUP(A22,Lab!$A$2:$B$39,2,False),2),0)</f>
        <v>22</v>
      </c>
      <c r="H22" s="50">
        <f t="shared" si="1"/>
        <v>89.6</v>
      </c>
    </row>
    <row r="23">
      <c r="A23" s="47">
        <f>Worksheet!A23</f>
        <v>24301192</v>
      </c>
      <c r="B23" s="48" t="str">
        <f>Worksheet!B23</f>
        <v>Mashfiqur Rahman Khan</v>
      </c>
      <c r="C23" s="49">
        <f>Assignment!G23</f>
        <v>5</v>
      </c>
      <c r="D23" s="49">
        <f>Quiz!M23</f>
        <v>20</v>
      </c>
      <c r="E23" s="49">
        <f>'Mid+Final'!D24</f>
        <v>7.8</v>
      </c>
      <c r="F23" s="49">
        <f>'Mid+Final'!M24</f>
        <v>24.4</v>
      </c>
      <c r="G23" s="49">
        <f>IFERROR(ROUNDUP(VLOOKUP(A23,Lab!$A$2:$B$39,2,False),2),0)</f>
        <v>15.48</v>
      </c>
      <c r="H23" s="50">
        <f t="shared" si="1"/>
        <v>72.68</v>
      </c>
    </row>
    <row r="24">
      <c r="A24" s="47">
        <f>Worksheet!A24</f>
        <v>24301202</v>
      </c>
      <c r="B24" s="48" t="str">
        <f>Worksheet!B24</f>
        <v>Dibyo Singho Barua Subrajit</v>
      </c>
      <c r="C24" s="49">
        <f>Assignment!G24</f>
        <v>5</v>
      </c>
      <c r="D24" s="49">
        <f>Quiz!M24</f>
        <v>16.66</v>
      </c>
      <c r="E24" s="49">
        <f>'Mid+Final'!D25</f>
        <v>8</v>
      </c>
      <c r="F24" s="49">
        <f>'Mid+Final'!M25</f>
        <v>22.9</v>
      </c>
      <c r="G24" s="49">
        <f>IFERROR(ROUNDUP(VLOOKUP(A24,Lab!$A$2:$B$39,2,False),2),0)</f>
        <v>17.58</v>
      </c>
      <c r="H24" s="50">
        <f t="shared" si="1"/>
        <v>70.14</v>
      </c>
    </row>
    <row r="25">
      <c r="A25" s="47">
        <f>Worksheet!A25</f>
        <v>24301306</v>
      </c>
      <c r="B25" s="48" t="str">
        <f>Worksheet!B25</f>
        <v>Md Fahmudur Rahman Fahim</v>
      </c>
      <c r="C25" s="49">
        <f>Assignment!G25</f>
        <v>5</v>
      </c>
      <c r="D25" s="51">
        <v>12.0</v>
      </c>
      <c r="E25" s="49">
        <f>'Mid+Final'!D26</f>
        <v>8.3</v>
      </c>
      <c r="F25" s="49">
        <f>'Mid+Final'!M26</f>
        <v>18.8</v>
      </c>
      <c r="G25" s="49">
        <f>IFERROR(ROUNDUP(VLOOKUP(A25,Lab!$A$2:$B$39,2,False),2),0)</f>
        <v>6.78</v>
      </c>
      <c r="H25" s="50">
        <f t="shared" si="1"/>
        <v>50.88</v>
      </c>
    </row>
    <row r="26">
      <c r="A26" s="47">
        <f>Worksheet!A26</f>
        <v>24301320</v>
      </c>
      <c r="B26" s="48" t="str">
        <f>Worksheet!B26</f>
        <v>Md Rafi Hasan</v>
      </c>
      <c r="C26" s="49">
        <f>Assignment!G26</f>
        <v>5</v>
      </c>
      <c r="D26" s="49">
        <f>Quiz!M26</f>
        <v>17.33</v>
      </c>
      <c r="E26" s="49">
        <f>'Mid+Final'!D27</f>
        <v>17.8</v>
      </c>
      <c r="F26" s="49">
        <f>'Mid+Final'!M27</f>
        <v>24.8</v>
      </c>
      <c r="G26" s="49">
        <f>IFERROR(ROUNDUP(VLOOKUP(A26,Lab!$A$2:$B$39,2,False),2),0)</f>
        <v>25</v>
      </c>
      <c r="H26" s="50">
        <f t="shared" si="1"/>
        <v>89.93</v>
      </c>
    </row>
    <row r="27">
      <c r="A27" s="47">
        <f>Worksheet!A27</f>
        <v>24301321</v>
      </c>
      <c r="B27" s="48" t="str">
        <f>Worksheet!B27</f>
        <v>Nazif Ahmed Khan</v>
      </c>
      <c r="C27" s="49">
        <f>Assignment!G27</f>
        <v>5</v>
      </c>
      <c r="D27" s="49">
        <f>Quiz!M27</f>
        <v>13.33</v>
      </c>
      <c r="E27" s="49">
        <f>'Mid+Final'!D28</f>
        <v>6.9</v>
      </c>
      <c r="F27" s="49">
        <f>'Mid+Final'!M28</f>
        <v>19.2</v>
      </c>
      <c r="G27" s="49">
        <f>IFERROR(ROUNDUP(VLOOKUP(A27,Lab!$A$2:$B$39,2,False),2),0)</f>
        <v>17.96</v>
      </c>
      <c r="H27" s="50">
        <f t="shared" si="1"/>
        <v>62.39</v>
      </c>
    </row>
    <row r="28">
      <c r="A28" s="47">
        <f>Worksheet!A28</f>
        <v>24301358</v>
      </c>
      <c r="B28" s="48" t="str">
        <f>Worksheet!B28</f>
        <v>Multazim Nazifa</v>
      </c>
      <c r="C28" s="49">
        <f>Assignment!G28</f>
        <v>5</v>
      </c>
      <c r="D28" s="49">
        <f>Quiz!M28</f>
        <v>20</v>
      </c>
      <c r="E28" s="49">
        <f>'Mid+Final'!D29</f>
        <v>15.5</v>
      </c>
      <c r="F28" s="49">
        <f>'Mid+Final'!M29</f>
        <v>26.7</v>
      </c>
      <c r="G28" s="49">
        <f>IFERROR(ROUNDUP(VLOOKUP(A28,Lab!$A$2:$B$39,2,False),2),0)</f>
        <v>7.34</v>
      </c>
      <c r="H28" s="50">
        <f t="shared" si="1"/>
        <v>74.54</v>
      </c>
    </row>
    <row r="29">
      <c r="A29" s="47">
        <f>Worksheet!A29</f>
        <v>24301367</v>
      </c>
      <c r="B29" s="48" t="str">
        <f>Worksheet!B29</f>
        <v>Wazed Alam Wafi</v>
      </c>
      <c r="C29" s="49">
        <f>Assignment!G29</f>
        <v>5</v>
      </c>
      <c r="D29" s="49">
        <f>Quiz!M29</f>
        <v>14.66</v>
      </c>
      <c r="E29" s="49">
        <f>'Mid+Final'!D30</f>
        <v>13.8</v>
      </c>
      <c r="F29" s="49">
        <f>'Mid+Final'!M30</f>
        <v>21</v>
      </c>
      <c r="G29" s="49">
        <f>IFERROR(ROUNDUP(VLOOKUP(A29,Lab!$A$2:$B$39,2,False),2),0)</f>
        <v>5.25</v>
      </c>
      <c r="H29" s="50">
        <f t="shared" si="1"/>
        <v>59.71</v>
      </c>
    </row>
    <row r="30">
      <c r="A30" s="47">
        <f>Worksheet!A30</f>
        <v>24301375</v>
      </c>
      <c r="B30" s="48" t="str">
        <f>Worksheet!B30</f>
        <v>Mohammad Riham Alam</v>
      </c>
      <c r="C30" s="49">
        <f>Assignment!G30</f>
        <v>5</v>
      </c>
      <c r="D30" s="49">
        <f>Quiz!M30</f>
        <v>15.33</v>
      </c>
      <c r="E30" s="49">
        <f>'Mid+Final'!D31</f>
        <v>10</v>
      </c>
      <c r="F30" s="49">
        <f>'Mid+Final'!M31</f>
        <v>25.2</v>
      </c>
      <c r="G30" s="49">
        <f>IFERROR(ROUNDUP(VLOOKUP(A30,Lab!$A$2:$B$39,2,False),2),0)</f>
        <v>9.34</v>
      </c>
      <c r="H30" s="50">
        <f t="shared" si="1"/>
        <v>64.87</v>
      </c>
    </row>
    <row r="31">
      <c r="A31" s="47">
        <f>Worksheet!A31</f>
        <v>24301420</v>
      </c>
      <c r="B31" s="48" t="str">
        <f>Worksheet!B31</f>
        <v>Aronno Bless Rebeiro</v>
      </c>
      <c r="C31" s="49">
        <f>Assignment!G31</f>
        <v>5</v>
      </c>
      <c r="D31" s="49">
        <f>Quiz!M31</f>
        <v>13.33</v>
      </c>
      <c r="E31" s="49">
        <f>'Mid+Final'!D32</f>
        <v>8.6</v>
      </c>
      <c r="F31" s="49">
        <f>'Mid+Final'!M32</f>
        <v>22.9</v>
      </c>
      <c r="G31" s="49">
        <f>IFERROR(ROUNDUP(VLOOKUP(A31,Lab!$A$2:$B$39,2,False),2),0)</f>
        <v>5.24</v>
      </c>
      <c r="H31" s="50">
        <f t="shared" si="1"/>
        <v>55.07</v>
      </c>
    </row>
    <row r="32">
      <c r="A32" s="52">
        <f>Worksheet!A32</f>
        <v>24301451</v>
      </c>
      <c r="B32" s="53" t="str">
        <f>Worksheet!B32</f>
        <v>Sampurna Dey</v>
      </c>
      <c r="C32" s="54">
        <f>Assignment!G32</f>
        <v>5</v>
      </c>
      <c r="D32" s="49">
        <f>Quiz!M32</f>
        <v>20</v>
      </c>
      <c r="E32" s="54">
        <f>'Mid+Final'!D33</f>
        <v>9.8</v>
      </c>
      <c r="F32" s="54">
        <f>'Mid+Final'!M33</f>
        <v>22.5</v>
      </c>
      <c r="G32" s="49">
        <f>IFERROR(ROUNDUP(VLOOKUP(A32,Lab!$A$2:$B$39,2,False),2),0)</f>
        <v>5</v>
      </c>
      <c r="H32" s="50">
        <f t="shared" si="1"/>
        <v>62.3</v>
      </c>
    </row>
    <row r="33">
      <c r="A33" s="47">
        <f>Worksheet!A33</f>
        <v>24301484</v>
      </c>
      <c r="B33" s="48" t="str">
        <f>Worksheet!B33</f>
        <v>Md. Iftekhar Haque Iftee</v>
      </c>
      <c r="C33" s="49">
        <f>Assignment!G33</f>
        <v>5</v>
      </c>
      <c r="D33" s="49">
        <f>Quiz!M33</f>
        <v>20</v>
      </c>
      <c r="E33" s="49">
        <f>'Mid+Final'!D34</f>
        <v>16</v>
      </c>
      <c r="F33" s="49">
        <f>'Mid+Final'!M34</f>
        <v>26.7</v>
      </c>
      <c r="G33" s="49">
        <f>IFERROR(ROUNDUP(VLOOKUP(A33,Lab!$A$2:$B$39,2,False),2),0)</f>
        <v>17.16</v>
      </c>
      <c r="H33" s="50">
        <f t="shared" si="1"/>
        <v>84.86</v>
      </c>
    </row>
    <row r="34">
      <c r="A34" s="47">
        <f>Worksheet!A34</f>
        <v>24301499</v>
      </c>
      <c r="B34" s="48" t="str">
        <f>Worksheet!B34</f>
        <v>Zarifah Morshed Nuren</v>
      </c>
      <c r="C34" s="49">
        <f>Assignment!G34</f>
        <v>5</v>
      </c>
      <c r="D34" s="49">
        <f>Quiz!M34</f>
        <v>20</v>
      </c>
      <c r="E34" s="49">
        <f>'Mid+Final'!D35</f>
        <v>13.5</v>
      </c>
      <c r="F34" s="49">
        <f>'Mid+Final'!M35</f>
        <v>26.3</v>
      </c>
      <c r="G34" s="49">
        <f>IFERROR(ROUNDUP(VLOOKUP(A34,Lab!$A$2:$B$39,2,False),2),0)</f>
        <v>5</v>
      </c>
      <c r="H34" s="50">
        <f t="shared" si="1"/>
        <v>69.8</v>
      </c>
    </row>
    <row r="35">
      <c r="A35" s="47">
        <f>Worksheet!A35</f>
        <v>24301519</v>
      </c>
      <c r="B35" s="48" t="str">
        <f>Worksheet!B35</f>
        <v>Monira Mehjabeen Eva</v>
      </c>
      <c r="C35" s="49">
        <f>Assignment!G35</f>
        <v>5</v>
      </c>
      <c r="D35" s="49">
        <f>Quiz!M35</f>
        <v>20</v>
      </c>
      <c r="E35" s="49">
        <f>'Mid+Final'!D36</f>
        <v>11.8</v>
      </c>
      <c r="F35" s="49">
        <f>'Mid+Final'!M36</f>
        <v>25.5</v>
      </c>
      <c r="G35" s="49">
        <f>IFERROR(ROUNDUP(VLOOKUP(A35,Lab!$A$2:$B$39,2,False),2),0)</f>
        <v>5</v>
      </c>
      <c r="H35" s="50">
        <f t="shared" si="1"/>
        <v>67.3</v>
      </c>
    </row>
    <row r="36">
      <c r="A36" s="47">
        <f>Worksheet!A36</f>
        <v>24301546</v>
      </c>
      <c r="B36" s="48" t="str">
        <f>Worksheet!B36</f>
        <v>Manjurul Ahsan Hemel</v>
      </c>
      <c r="C36" s="49">
        <f>Assignment!G36</f>
        <v>5</v>
      </c>
      <c r="D36" s="49">
        <f>Quiz!M36</f>
        <v>16.66</v>
      </c>
      <c r="E36" s="49">
        <f>ROUNDUP('Mid+Final'!D37,0)</f>
        <v>5</v>
      </c>
      <c r="F36" s="49">
        <f>ROUNDUP('Mid+Final'!M37,0)</f>
        <v>20</v>
      </c>
      <c r="G36" s="49">
        <f>IFERROR(ROUNDUP(VLOOKUP(A36,Lab!$A$2:$B$39,2,False),2),0)</f>
        <v>3.65</v>
      </c>
      <c r="H36" s="50">
        <f t="shared" si="1"/>
        <v>50.31</v>
      </c>
    </row>
    <row r="37">
      <c r="A37" s="47">
        <f>Worksheet!A37</f>
        <v>24315010</v>
      </c>
      <c r="B37" s="48" t="str">
        <f>Worksheet!B37</f>
        <v>Saadat Khan</v>
      </c>
      <c r="C37" s="49">
        <f>Assignment!G37</f>
        <v>5</v>
      </c>
      <c r="D37" s="49">
        <f>Quiz!M37</f>
        <v>14</v>
      </c>
      <c r="E37" s="49">
        <f>'Mid+Final'!D38</f>
        <v>9.2</v>
      </c>
      <c r="F37" s="49">
        <f>'Mid+Final'!M38</f>
        <v>16.5</v>
      </c>
      <c r="G37" s="49">
        <f>IFERROR(ROUNDUP(VLOOKUP(A37,Lab!$A$2:$B$39,2,False),2),0)</f>
        <v>10.34</v>
      </c>
      <c r="H37" s="50">
        <f t="shared" si="1"/>
        <v>55.04</v>
      </c>
    </row>
    <row r="38">
      <c r="A38" s="47">
        <f>Worksheet!A38</f>
        <v>24321222</v>
      </c>
      <c r="B38" s="48" t="str">
        <f>Worksheet!B38</f>
        <v>Mir Mainul Ahmed</v>
      </c>
      <c r="C38" s="49">
        <f>Assignment!G38</f>
        <v>5</v>
      </c>
      <c r="D38" s="49">
        <f>Quiz!M38</f>
        <v>20</v>
      </c>
      <c r="E38" s="49">
        <f>'Mid+Final'!D39</f>
        <v>11.8</v>
      </c>
      <c r="F38" s="49">
        <f>'Mid+Final'!M39</f>
        <v>24.4</v>
      </c>
      <c r="G38" s="49">
        <f>IFERROR(ROUNDUP(VLOOKUP(A38,Lab!$A$2:$B$39,2,False),2),0)</f>
        <v>18.34</v>
      </c>
      <c r="H38" s="50">
        <f t="shared" si="1"/>
        <v>79.54</v>
      </c>
    </row>
    <row r="39">
      <c r="B39" s="55"/>
    </row>
    <row r="40">
      <c r="B40" s="55"/>
      <c r="C40" s="56"/>
      <c r="D40" s="56"/>
      <c r="E40" s="56"/>
      <c r="F40" s="56"/>
      <c r="G40" s="57"/>
      <c r="H40" s="57"/>
      <c r="I40" s="56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  <row r="1001">
      <c r="B1001" s="5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6.43"/>
    <col customWidth="1" min="4" max="11" width="19.14"/>
    <col customWidth="1" min="12" max="12" width="10.43"/>
    <col customWidth="1" min="13" max="13" width="11.43"/>
  </cols>
  <sheetData>
    <row r="1">
      <c r="A1" s="58"/>
      <c r="B1" s="58"/>
      <c r="C1" s="59"/>
      <c r="D1" s="59"/>
      <c r="E1" s="60" t="s">
        <v>109</v>
      </c>
      <c r="F1" s="60" t="s">
        <v>110</v>
      </c>
      <c r="G1" s="60" t="s">
        <v>109</v>
      </c>
      <c r="H1" s="60" t="s">
        <v>109</v>
      </c>
      <c r="I1" s="60" t="s">
        <v>110</v>
      </c>
      <c r="J1" s="60" t="s">
        <v>111</v>
      </c>
      <c r="K1" s="61"/>
      <c r="L1" s="61"/>
      <c r="M1" s="61"/>
      <c r="N1" s="62"/>
      <c r="O1" s="62"/>
      <c r="P1" s="62"/>
      <c r="Q1" s="63"/>
      <c r="R1" s="62"/>
      <c r="S1" s="62"/>
      <c r="T1" s="62"/>
      <c r="U1" s="62"/>
      <c r="V1" s="62"/>
      <c r="W1" s="62"/>
      <c r="X1" s="62"/>
    </row>
    <row r="2">
      <c r="A2" s="58" t="s">
        <v>0</v>
      </c>
      <c r="B2" s="58"/>
      <c r="C2" s="59" t="s">
        <v>112</v>
      </c>
      <c r="D2" s="59" t="s">
        <v>113</v>
      </c>
      <c r="E2" s="60" t="s">
        <v>114</v>
      </c>
      <c r="F2" s="60" t="s">
        <v>115</v>
      </c>
      <c r="G2" s="60" t="s">
        <v>116</v>
      </c>
      <c r="H2" s="60" t="s">
        <v>117</v>
      </c>
      <c r="I2" s="60" t="s">
        <v>118</v>
      </c>
      <c r="J2" s="60" t="s">
        <v>119</v>
      </c>
      <c r="K2" s="61"/>
      <c r="L2" s="64" t="s">
        <v>120</v>
      </c>
      <c r="M2" s="65" t="s">
        <v>121</v>
      </c>
      <c r="N2" s="66" t="s">
        <v>122</v>
      </c>
      <c r="O2" s="67" t="s">
        <v>123</v>
      </c>
      <c r="P2" s="67" t="s">
        <v>124</v>
      </c>
      <c r="Q2" s="67" t="s">
        <v>125</v>
      </c>
      <c r="R2" s="67" t="s">
        <v>126</v>
      </c>
      <c r="S2" s="67" t="s">
        <v>127</v>
      </c>
      <c r="T2" s="67" t="s">
        <v>128</v>
      </c>
      <c r="U2" s="67" t="s">
        <v>129</v>
      </c>
      <c r="V2" s="62"/>
      <c r="W2" s="62"/>
      <c r="X2" s="62"/>
    </row>
    <row r="3">
      <c r="A3" s="68">
        <f>Worksheet!A2</f>
        <v>22101165</v>
      </c>
      <c r="B3" s="68" t="str">
        <f>Worksheet!B2</f>
        <v>Asif Mahmud</v>
      </c>
      <c r="C3" s="69">
        <f t="shared" ref="C3:C39" si="1">SUM(E3:J3)</f>
        <v>21.5</v>
      </c>
      <c r="D3" s="69">
        <f t="shared" ref="D3:D39" si="2">roundup(SUM(E3:K3)/35*20,1)</f>
        <v>12.3</v>
      </c>
      <c r="E3" s="70">
        <v>6.0</v>
      </c>
      <c r="F3" s="70">
        <v>7.0</v>
      </c>
      <c r="G3" s="70">
        <v>0.0</v>
      </c>
      <c r="H3" s="70">
        <v>0.0</v>
      </c>
      <c r="I3" s="70">
        <v>4.0</v>
      </c>
      <c r="J3" s="70">
        <v>4.5</v>
      </c>
      <c r="L3" s="36">
        <f t="shared" ref="L3:L39" si="3">SUM(N3:U3)</f>
        <v>26.5</v>
      </c>
      <c r="M3" s="42">
        <f t="shared" ref="M3:M39" si="4">roundup(L3/40*30,1)</f>
        <v>19.9</v>
      </c>
      <c r="N3" s="71">
        <v>9.0</v>
      </c>
      <c r="O3" s="71">
        <v>2.0</v>
      </c>
      <c r="P3" s="71">
        <v>1.0</v>
      </c>
      <c r="Q3" s="71">
        <v>0.0</v>
      </c>
      <c r="R3" s="71">
        <v>3.5</v>
      </c>
      <c r="S3" s="71">
        <v>1.0</v>
      </c>
      <c r="T3" s="71">
        <v>1.0</v>
      </c>
      <c r="U3" s="71">
        <v>9.0</v>
      </c>
    </row>
    <row r="4">
      <c r="A4" s="68">
        <f>Worksheet!A3</f>
        <v>22101192</v>
      </c>
      <c r="B4" s="68" t="str">
        <f>Worksheet!B3</f>
        <v>Maliha Anan Promi</v>
      </c>
      <c r="C4" s="69">
        <f t="shared" si="1"/>
        <v>15.5</v>
      </c>
      <c r="D4" s="69">
        <f t="shared" si="2"/>
        <v>8.9</v>
      </c>
      <c r="E4" s="70">
        <v>3.0</v>
      </c>
      <c r="F4" s="70">
        <v>3.0</v>
      </c>
      <c r="G4" s="70">
        <v>0.0</v>
      </c>
      <c r="H4" s="70">
        <v>3.0</v>
      </c>
      <c r="I4" s="70">
        <v>3.5</v>
      </c>
      <c r="J4" s="70">
        <v>3.0</v>
      </c>
      <c r="L4" s="36">
        <f t="shared" si="3"/>
        <v>13</v>
      </c>
      <c r="M4" s="42">
        <f t="shared" si="4"/>
        <v>9.8</v>
      </c>
      <c r="N4" s="71">
        <v>6.0</v>
      </c>
      <c r="O4" s="71">
        <v>3.0</v>
      </c>
      <c r="P4" s="71">
        <v>0.0</v>
      </c>
      <c r="Q4" s="71">
        <v>0.0</v>
      </c>
      <c r="R4" s="71">
        <v>0.0</v>
      </c>
      <c r="S4" s="71">
        <v>0.0</v>
      </c>
      <c r="T4" s="71">
        <v>0.0</v>
      </c>
      <c r="U4" s="71">
        <v>4.0</v>
      </c>
    </row>
    <row r="5">
      <c r="A5" s="72">
        <f>Worksheet!A4</f>
        <v>22101297</v>
      </c>
      <c r="B5" s="72" t="str">
        <f>Worksheet!B4</f>
        <v>Parthib Biswas</v>
      </c>
      <c r="C5" s="73">
        <f t="shared" si="1"/>
        <v>13</v>
      </c>
      <c r="D5" s="69">
        <f t="shared" si="2"/>
        <v>7.5</v>
      </c>
      <c r="E5" s="74">
        <v>4.0</v>
      </c>
      <c r="F5" s="74">
        <v>5.0</v>
      </c>
      <c r="G5" s="74">
        <v>0.0</v>
      </c>
      <c r="H5" s="74">
        <v>0.0</v>
      </c>
      <c r="I5" s="74">
        <v>1.0</v>
      </c>
      <c r="J5" s="74">
        <v>3.0</v>
      </c>
      <c r="K5" s="73"/>
      <c r="L5" s="75">
        <f t="shared" si="3"/>
        <v>19</v>
      </c>
      <c r="M5" s="42">
        <f t="shared" si="4"/>
        <v>14.3</v>
      </c>
      <c r="N5" s="76">
        <v>5.0</v>
      </c>
      <c r="O5" s="76">
        <v>4.0</v>
      </c>
      <c r="P5" s="76">
        <v>2.0</v>
      </c>
      <c r="Q5" s="76">
        <v>1.0</v>
      </c>
      <c r="R5" s="76">
        <v>1.0</v>
      </c>
      <c r="S5" s="76">
        <v>1.0</v>
      </c>
      <c r="T5" s="76">
        <v>2.0</v>
      </c>
      <c r="U5" s="76">
        <v>3.0</v>
      </c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</row>
    <row r="6">
      <c r="A6" s="68">
        <f>Worksheet!A5</f>
        <v>22201706</v>
      </c>
      <c r="B6" s="68" t="str">
        <f>Worksheet!B5</f>
        <v>Sadnan Basher</v>
      </c>
      <c r="C6" s="69">
        <f t="shared" si="1"/>
        <v>5</v>
      </c>
      <c r="D6" s="69">
        <f t="shared" si="2"/>
        <v>2.9</v>
      </c>
      <c r="E6" s="70">
        <v>1.0</v>
      </c>
      <c r="F6" s="70">
        <v>4.0</v>
      </c>
      <c r="G6" s="70">
        <v>0.0</v>
      </c>
      <c r="H6" s="70">
        <v>0.0</v>
      </c>
      <c r="I6" s="70">
        <v>0.0</v>
      </c>
      <c r="J6" s="70">
        <v>0.0</v>
      </c>
      <c r="L6" s="36">
        <f t="shared" si="3"/>
        <v>2</v>
      </c>
      <c r="M6" s="42">
        <f t="shared" si="4"/>
        <v>1.5</v>
      </c>
      <c r="N6" s="77">
        <v>0.0</v>
      </c>
      <c r="O6" s="77">
        <v>2.0</v>
      </c>
      <c r="P6" s="77">
        <v>0.0</v>
      </c>
      <c r="Q6" s="71">
        <v>0.0</v>
      </c>
      <c r="R6" s="77">
        <v>0.0</v>
      </c>
      <c r="S6" s="77">
        <v>0.0</v>
      </c>
      <c r="T6" s="77">
        <v>0.0</v>
      </c>
      <c r="U6" s="77">
        <v>0.0</v>
      </c>
    </row>
    <row r="7">
      <c r="A7" s="68">
        <f>Worksheet!A6</f>
        <v>22301485</v>
      </c>
      <c r="B7" s="68" t="str">
        <f>Worksheet!B6</f>
        <v>Tamal Kumar Dey</v>
      </c>
      <c r="C7" s="69">
        <f t="shared" si="1"/>
        <v>15.5</v>
      </c>
      <c r="D7" s="69">
        <f t="shared" si="2"/>
        <v>8.9</v>
      </c>
      <c r="E7" s="70">
        <v>4.0</v>
      </c>
      <c r="F7" s="70">
        <v>4.0</v>
      </c>
      <c r="G7" s="70">
        <v>0.0</v>
      </c>
      <c r="H7" s="70">
        <v>1.0</v>
      </c>
      <c r="I7" s="70">
        <v>3.5</v>
      </c>
      <c r="J7" s="70">
        <v>3.0</v>
      </c>
      <c r="L7" s="36">
        <f t="shared" si="3"/>
        <v>24</v>
      </c>
      <c r="M7" s="42">
        <f t="shared" si="4"/>
        <v>18</v>
      </c>
      <c r="N7" s="70">
        <v>9.0</v>
      </c>
      <c r="O7" s="70">
        <v>3.0</v>
      </c>
      <c r="P7" s="70">
        <v>0.0</v>
      </c>
      <c r="Q7" s="71">
        <v>0.0</v>
      </c>
      <c r="R7" s="70">
        <v>4.0</v>
      </c>
      <c r="S7" s="70">
        <v>1.0</v>
      </c>
      <c r="T7" s="70">
        <v>0.0</v>
      </c>
      <c r="U7" s="70">
        <v>7.0</v>
      </c>
    </row>
    <row r="8">
      <c r="A8" s="68">
        <f>Worksheet!A7</f>
        <v>22301581</v>
      </c>
      <c r="B8" s="68" t="str">
        <f>Worksheet!B7</f>
        <v>Rufaida Zoon Raiyan</v>
      </c>
      <c r="C8" s="69">
        <f t="shared" si="1"/>
        <v>14.5</v>
      </c>
      <c r="D8" s="69">
        <f t="shared" si="2"/>
        <v>8.3</v>
      </c>
      <c r="E8" s="70">
        <v>3.0</v>
      </c>
      <c r="F8" s="70">
        <v>4.0</v>
      </c>
      <c r="G8" s="70">
        <v>0.0</v>
      </c>
      <c r="H8" s="70">
        <v>0.0</v>
      </c>
      <c r="I8" s="70">
        <v>3.0</v>
      </c>
      <c r="J8" s="70">
        <v>4.5</v>
      </c>
      <c r="L8" s="36">
        <f t="shared" si="3"/>
        <v>30.5</v>
      </c>
      <c r="M8" s="42">
        <f t="shared" si="4"/>
        <v>22.9</v>
      </c>
      <c r="N8" s="70">
        <v>8.0</v>
      </c>
      <c r="O8" s="70">
        <v>4.0</v>
      </c>
      <c r="P8" s="70">
        <v>2.0</v>
      </c>
      <c r="Q8" s="71">
        <v>1.0</v>
      </c>
      <c r="R8" s="70">
        <v>4.0</v>
      </c>
      <c r="S8" s="70">
        <v>2.0</v>
      </c>
      <c r="T8" s="70">
        <v>0.0</v>
      </c>
      <c r="U8" s="70">
        <v>9.5</v>
      </c>
    </row>
    <row r="9">
      <c r="A9" s="68">
        <f>Worksheet!A8</f>
        <v>23101152</v>
      </c>
      <c r="B9" s="68" t="str">
        <f>Worksheet!B8</f>
        <v>Shihabul Ishraq Tanim</v>
      </c>
      <c r="C9" s="69">
        <f t="shared" si="1"/>
        <v>13</v>
      </c>
      <c r="D9" s="69">
        <f t="shared" si="2"/>
        <v>7.5</v>
      </c>
      <c r="E9" s="70">
        <v>1.0</v>
      </c>
      <c r="F9" s="70">
        <v>4.0</v>
      </c>
      <c r="G9" s="70">
        <v>0.0</v>
      </c>
      <c r="H9" s="70">
        <v>0.0</v>
      </c>
      <c r="I9" s="70">
        <v>4.0</v>
      </c>
      <c r="J9" s="70">
        <v>4.0</v>
      </c>
      <c r="L9" s="36">
        <f t="shared" si="3"/>
        <v>20</v>
      </c>
      <c r="M9" s="42">
        <f t="shared" si="4"/>
        <v>15</v>
      </c>
      <c r="N9" s="70">
        <v>7.0</v>
      </c>
      <c r="O9" s="70">
        <v>3.0</v>
      </c>
      <c r="P9" s="70">
        <v>0.0</v>
      </c>
      <c r="Q9" s="71">
        <v>1.0</v>
      </c>
      <c r="R9" s="70">
        <v>2.0</v>
      </c>
      <c r="S9" s="70">
        <v>1.0</v>
      </c>
      <c r="T9" s="70">
        <v>0.0</v>
      </c>
      <c r="U9" s="70">
        <v>6.0</v>
      </c>
    </row>
    <row r="10">
      <c r="A10" s="68">
        <f>Worksheet!A9</f>
        <v>23101196</v>
      </c>
      <c r="B10" s="68" t="str">
        <f>Worksheet!B9</f>
        <v>Nandini Das Jhumu</v>
      </c>
      <c r="C10" s="69">
        <f t="shared" si="1"/>
        <v>20</v>
      </c>
      <c r="D10" s="69">
        <f t="shared" si="2"/>
        <v>11.5</v>
      </c>
      <c r="E10" s="70">
        <v>5.0</v>
      </c>
      <c r="F10" s="70">
        <v>6.0</v>
      </c>
      <c r="G10" s="70">
        <v>0.0</v>
      </c>
      <c r="H10" s="70">
        <v>3.0</v>
      </c>
      <c r="I10" s="70">
        <v>3.0</v>
      </c>
      <c r="J10" s="70">
        <v>3.0</v>
      </c>
      <c r="L10" s="36">
        <f t="shared" si="3"/>
        <v>28</v>
      </c>
      <c r="M10" s="42">
        <f t="shared" si="4"/>
        <v>21</v>
      </c>
      <c r="N10" s="70">
        <v>8.0</v>
      </c>
      <c r="O10" s="70">
        <v>5.0</v>
      </c>
      <c r="P10" s="70">
        <v>1.0</v>
      </c>
      <c r="Q10" s="71">
        <v>1.0</v>
      </c>
      <c r="R10" s="70">
        <v>5.0</v>
      </c>
      <c r="S10" s="70">
        <v>1.5</v>
      </c>
      <c r="T10" s="70">
        <v>2.0</v>
      </c>
      <c r="U10" s="70">
        <v>4.5</v>
      </c>
    </row>
    <row r="11">
      <c r="A11" s="68">
        <f>Worksheet!A10</f>
        <v>23201055</v>
      </c>
      <c r="B11" s="68" t="str">
        <f>Worksheet!B10</f>
        <v>Ridwanul Azim</v>
      </c>
      <c r="C11" s="69">
        <f t="shared" si="1"/>
        <v>0</v>
      </c>
      <c r="D11" s="69">
        <f t="shared" si="2"/>
        <v>0</v>
      </c>
      <c r="E11" s="70">
        <v>0.0</v>
      </c>
      <c r="F11" s="70">
        <v>0.0</v>
      </c>
      <c r="G11" s="70">
        <v>0.0</v>
      </c>
      <c r="H11" s="70">
        <v>0.0</v>
      </c>
      <c r="I11" s="70">
        <v>0.0</v>
      </c>
      <c r="J11" s="70">
        <v>0.0</v>
      </c>
      <c r="L11" s="36">
        <f t="shared" si="3"/>
        <v>0</v>
      </c>
      <c r="M11" s="42">
        <f t="shared" si="4"/>
        <v>0</v>
      </c>
      <c r="N11" s="70">
        <v>0.0</v>
      </c>
      <c r="O11" s="70">
        <v>0.0</v>
      </c>
      <c r="P11" s="70">
        <v>0.0</v>
      </c>
      <c r="Q11" s="70">
        <v>0.0</v>
      </c>
      <c r="R11" s="70">
        <v>0.0</v>
      </c>
      <c r="S11" s="70">
        <v>0.0</v>
      </c>
      <c r="T11" s="70">
        <v>0.0</v>
      </c>
      <c r="U11" s="70">
        <v>0.0</v>
      </c>
    </row>
    <row r="12">
      <c r="A12" s="68">
        <f>Worksheet!A11</f>
        <v>23301401</v>
      </c>
      <c r="B12" s="68" t="str">
        <f>Worksheet!B11</f>
        <v>Saddat Hossain Sifat</v>
      </c>
      <c r="C12" s="69">
        <f t="shared" si="1"/>
        <v>23</v>
      </c>
      <c r="D12" s="69">
        <f t="shared" si="2"/>
        <v>13.2</v>
      </c>
      <c r="E12" s="70">
        <v>6.0</v>
      </c>
      <c r="F12" s="70">
        <v>7.5</v>
      </c>
      <c r="G12" s="70">
        <v>0.5</v>
      </c>
      <c r="H12" s="70">
        <v>2.0</v>
      </c>
      <c r="I12" s="70">
        <v>3.0</v>
      </c>
      <c r="J12" s="70">
        <v>4.0</v>
      </c>
      <c r="L12" s="36">
        <f t="shared" si="3"/>
        <v>37</v>
      </c>
      <c r="M12" s="42">
        <f t="shared" si="4"/>
        <v>27.8</v>
      </c>
      <c r="N12" s="70">
        <v>9.0</v>
      </c>
      <c r="O12" s="70">
        <v>6.0</v>
      </c>
      <c r="P12" s="70">
        <v>2.0</v>
      </c>
      <c r="Q12" s="71">
        <v>2.0</v>
      </c>
      <c r="R12" s="70">
        <v>5.0</v>
      </c>
      <c r="S12" s="70">
        <v>1.0</v>
      </c>
      <c r="T12" s="70">
        <v>2.0</v>
      </c>
      <c r="U12" s="70">
        <v>10.0</v>
      </c>
    </row>
    <row r="13">
      <c r="A13" s="68">
        <f>Worksheet!A12</f>
        <v>24101043</v>
      </c>
      <c r="B13" s="68" t="str">
        <f>Worksheet!B12</f>
        <v>Md Abu Noman Kabbo</v>
      </c>
      <c r="C13" s="69">
        <f t="shared" si="1"/>
        <v>18.5</v>
      </c>
      <c r="D13" s="69">
        <f t="shared" si="2"/>
        <v>10.6</v>
      </c>
      <c r="E13" s="70">
        <v>3.0</v>
      </c>
      <c r="F13" s="70">
        <v>6.0</v>
      </c>
      <c r="G13" s="70">
        <v>0.0</v>
      </c>
      <c r="H13" s="70">
        <v>3.0</v>
      </c>
      <c r="I13" s="70">
        <v>3.5</v>
      </c>
      <c r="J13" s="70">
        <v>3.0</v>
      </c>
      <c r="L13" s="36">
        <f t="shared" si="3"/>
        <v>0</v>
      </c>
      <c r="M13" s="42">
        <f t="shared" si="4"/>
        <v>0</v>
      </c>
      <c r="Q13" s="42"/>
    </row>
    <row r="14">
      <c r="A14" s="68">
        <f>Worksheet!A13</f>
        <v>24101081</v>
      </c>
      <c r="B14" s="68" t="str">
        <f>Worksheet!B13</f>
        <v>Adil Abdullah Mahdi</v>
      </c>
      <c r="C14" s="69">
        <f t="shared" si="1"/>
        <v>15</v>
      </c>
      <c r="D14" s="69">
        <f t="shared" si="2"/>
        <v>8.6</v>
      </c>
      <c r="E14" s="70">
        <v>6.0</v>
      </c>
      <c r="F14" s="70">
        <v>7.0</v>
      </c>
      <c r="G14" s="70">
        <v>0.0</v>
      </c>
      <c r="H14" s="70">
        <v>1.0</v>
      </c>
      <c r="I14" s="70">
        <v>1.0</v>
      </c>
      <c r="J14" s="70">
        <v>0.0</v>
      </c>
      <c r="L14" s="36">
        <f t="shared" si="3"/>
        <v>31</v>
      </c>
      <c r="M14" s="42">
        <f t="shared" si="4"/>
        <v>23.3</v>
      </c>
      <c r="N14" s="70">
        <v>7.0</v>
      </c>
      <c r="O14" s="70">
        <v>3.0</v>
      </c>
      <c r="P14" s="70">
        <v>2.0</v>
      </c>
      <c r="Q14" s="71">
        <v>1.0</v>
      </c>
      <c r="R14" s="70">
        <v>5.0</v>
      </c>
      <c r="S14" s="70">
        <v>2.0</v>
      </c>
      <c r="T14" s="70">
        <v>2.0</v>
      </c>
      <c r="U14" s="70">
        <v>9.0</v>
      </c>
    </row>
    <row r="15">
      <c r="A15" s="68">
        <f>Worksheet!A14</f>
        <v>24101103</v>
      </c>
      <c r="B15" s="68" t="str">
        <f>Worksheet!B14</f>
        <v>Zunayed Amin</v>
      </c>
      <c r="C15" s="69">
        <f t="shared" si="1"/>
        <v>13.5</v>
      </c>
      <c r="D15" s="69">
        <f t="shared" si="2"/>
        <v>7.8</v>
      </c>
      <c r="E15" s="70">
        <v>4.0</v>
      </c>
      <c r="F15" s="70">
        <v>4.0</v>
      </c>
      <c r="G15" s="70">
        <v>0.0</v>
      </c>
      <c r="H15" s="70">
        <v>1.0</v>
      </c>
      <c r="I15" s="70">
        <v>3.0</v>
      </c>
      <c r="J15" s="70">
        <v>1.5</v>
      </c>
      <c r="L15" s="36">
        <f t="shared" si="3"/>
        <v>29</v>
      </c>
      <c r="M15" s="42">
        <f t="shared" si="4"/>
        <v>21.8</v>
      </c>
      <c r="N15" s="70">
        <v>8.0</v>
      </c>
      <c r="O15" s="70">
        <v>4.0</v>
      </c>
      <c r="P15" s="70">
        <v>1.0</v>
      </c>
      <c r="Q15" s="71">
        <v>0.0</v>
      </c>
      <c r="R15" s="70">
        <v>5.0</v>
      </c>
      <c r="S15" s="70">
        <v>1.0</v>
      </c>
      <c r="T15" s="70">
        <v>1.0</v>
      </c>
      <c r="U15" s="70">
        <v>9.0</v>
      </c>
    </row>
    <row r="16">
      <c r="A16" s="68">
        <f>Worksheet!A15</f>
        <v>24110031</v>
      </c>
      <c r="B16" s="68" t="str">
        <f>Worksheet!B15</f>
        <v>Sm Mostofa Morshed Sayeem</v>
      </c>
      <c r="C16" s="69">
        <f t="shared" si="1"/>
        <v>8</v>
      </c>
      <c r="D16" s="69">
        <f t="shared" si="2"/>
        <v>4.6</v>
      </c>
      <c r="E16" s="70">
        <v>3.0</v>
      </c>
      <c r="F16" s="70">
        <v>4.0</v>
      </c>
      <c r="G16" s="70">
        <v>1.0</v>
      </c>
      <c r="H16" s="70">
        <v>0.0</v>
      </c>
      <c r="I16" s="70">
        <v>0.0</v>
      </c>
      <c r="J16" s="70">
        <v>0.0</v>
      </c>
      <c r="L16" s="36">
        <f t="shared" si="3"/>
        <v>0</v>
      </c>
      <c r="M16" s="42">
        <f t="shared" si="4"/>
        <v>0</v>
      </c>
      <c r="Q16" s="42"/>
    </row>
    <row r="17">
      <c r="A17" s="68">
        <f>Worksheet!A16</f>
        <v>24201140</v>
      </c>
      <c r="B17" s="68" t="str">
        <f>Worksheet!B16</f>
        <v>Mehrab Rashid Mugdha</v>
      </c>
      <c r="C17" s="69">
        <f t="shared" si="1"/>
        <v>23.5</v>
      </c>
      <c r="D17" s="69">
        <f t="shared" si="2"/>
        <v>13.5</v>
      </c>
      <c r="E17" s="70">
        <v>7.5</v>
      </c>
      <c r="F17" s="70">
        <v>6.0</v>
      </c>
      <c r="G17" s="70">
        <v>0.0</v>
      </c>
      <c r="H17" s="70">
        <v>4.0</v>
      </c>
      <c r="I17" s="70">
        <v>2.0</v>
      </c>
      <c r="J17" s="70">
        <v>4.0</v>
      </c>
      <c r="L17" s="36">
        <f t="shared" si="3"/>
        <v>37</v>
      </c>
      <c r="M17" s="42">
        <f t="shared" si="4"/>
        <v>27.8</v>
      </c>
      <c r="N17" s="70">
        <v>9.0</v>
      </c>
      <c r="O17" s="70">
        <v>5.5</v>
      </c>
      <c r="P17" s="70">
        <v>2.0</v>
      </c>
      <c r="Q17" s="71">
        <v>2.0</v>
      </c>
      <c r="R17" s="70">
        <v>5.0</v>
      </c>
      <c r="S17" s="70">
        <v>2.0</v>
      </c>
      <c r="T17" s="70">
        <v>2.0</v>
      </c>
      <c r="U17" s="70">
        <v>9.5</v>
      </c>
    </row>
    <row r="18">
      <c r="A18" s="68">
        <f>Worksheet!A17</f>
        <v>24301023</v>
      </c>
      <c r="B18" s="68" t="str">
        <f>Worksheet!B17</f>
        <v>Md Muhtasim Chowdhury</v>
      </c>
      <c r="C18" s="69">
        <f t="shared" si="1"/>
        <v>18</v>
      </c>
      <c r="D18" s="69">
        <f t="shared" si="2"/>
        <v>10.3</v>
      </c>
      <c r="E18" s="70">
        <v>5.0</v>
      </c>
      <c r="F18" s="70">
        <v>3.0</v>
      </c>
      <c r="G18" s="70">
        <v>0.0</v>
      </c>
      <c r="H18" s="70">
        <v>2.0</v>
      </c>
      <c r="I18" s="70">
        <v>4.0</v>
      </c>
      <c r="J18" s="70">
        <v>4.0</v>
      </c>
      <c r="L18" s="36">
        <f t="shared" si="3"/>
        <v>0</v>
      </c>
      <c r="M18" s="42">
        <f t="shared" si="4"/>
        <v>0</v>
      </c>
      <c r="Q18" s="42"/>
    </row>
    <row r="19">
      <c r="A19" s="72">
        <f>Worksheet!A18</f>
        <v>24301062</v>
      </c>
      <c r="B19" s="72" t="str">
        <f>Worksheet!B18</f>
        <v>Tahseen Zaman</v>
      </c>
      <c r="C19" s="73">
        <f t="shared" si="1"/>
        <v>18</v>
      </c>
      <c r="D19" s="69">
        <f t="shared" si="2"/>
        <v>10.3</v>
      </c>
      <c r="E19" s="74">
        <v>5.0</v>
      </c>
      <c r="F19" s="74">
        <v>5.0</v>
      </c>
      <c r="G19" s="74">
        <v>0.0</v>
      </c>
      <c r="H19" s="74">
        <v>2.0</v>
      </c>
      <c r="I19" s="74">
        <v>3.0</v>
      </c>
      <c r="J19" s="74">
        <v>3.0</v>
      </c>
      <c r="K19" s="73"/>
      <c r="L19" s="75">
        <f t="shared" si="3"/>
        <v>16</v>
      </c>
      <c r="M19" s="42">
        <f t="shared" si="4"/>
        <v>12</v>
      </c>
      <c r="N19" s="73"/>
      <c r="O19" s="74">
        <v>4.0</v>
      </c>
      <c r="P19" s="73"/>
      <c r="Q19" s="78"/>
      <c r="R19" s="74">
        <v>2.0</v>
      </c>
      <c r="S19" s="74">
        <v>1.0</v>
      </c>
      <c r="T19" s="73"/>
      <c r="U19" s="74">
        <v>9.0</v>
      </c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</row>
    <row r="20">
      <c r="A20" s="68">
        <f>Worksheet!A19</f>
        <v>24301066</v>
      </c>
      <c r="B20" s="68" t="str">
        <f>Worksheet!B19</f>
        <v>Lamia Iqbal</v>
      </c>
      <c r="C20" s="69">
        <f t="shared" si="1"/>
        <v>25.5</v>
      </c>
      <c r="D20" s="69">
        <f t="shared" si="2"/>
        <v>14.6</v>
      </c>
      <c r="E20" s="70">
        <v>9.0</v>
      </c>
      <c r="F20" s="70">
        <v>8.5</v>
      </c>
      <c r="G20" s="70">
        <v>0.5</v>
      </c>
      <c r="H20" s="70">
        <v>1.0</v>
      </c>
      <c r="I20" s="70">
        <v>3.5</v>
      </c>
      <c r="J20" s="70">
        <v>3.0</v>
      </c>
      <c r="L20" s="36">
        <f t="shared" si="3"/>
        <v>35.5</v>
      </c>
      <c r="M20" s="42">
        <f t="shared" si="4"/>
        <v>26.7</v>
      </c>
      <c r="N20" s="70">
        <v>9.0</v>
      </c>
      <c r="O20" s="70">
        <v>6.0</v>
      </c>
      <c r="P20" s="70">
        <v>2.0</v>
      </c>
      <c r="Q20" s="71">
        <v>2.0</v>
      </c>
      <c r="R20" s="70">
        <v>3.0</v>
      </c>
      <c r="S20" s="70">
        <v>3.0</v>
      </c>
      <c r="T20" s="70">
        <v>1.5</v>
      </c>
      <c r="U20" s="70">
        <v>9.0</v>
      </c>
    </row>
    <row r="21">
      <c r="A21" s="68">
        <f>Worksheet!A20</f>
        <v>24301073</v>
      </c>
      <c r="B21" s="68" t="str">
        <f>Worksheet!B20</f>
        <v>Rafid Bin Nasir</v>
      </c>
      <c r="C21" s="69">
        <f t="shared" si="1"/>
        <v>24.5</v>
      </c>
      <c r="D21" s="69">
        <f t="shared" si="2"/>
        <v>14</v>
      </c>
      <c r="E21" s="70">
        <v>6.0</v>
      </c>
      <c r="F21" s="70">
        <v>7.0</v>
      </c>
      <c r="G21" s="70">
        <v>0.5</v>
      </c>
      <c r="H21" s="70">
        <v>5.0</v>
      </c>
      <c r="I21" s="70">
        <v>2.0</v>
      </c>
      <c r="J21" s="70">
        <v>4.0</v>
      </c>
      <c r="L21" s="36">
        <f t="shared" si="3"/>
        <v>34.5</v>
      </c>
      <c r="M21" s="42">
        <f t="shared" si="4"/>
        <v>25.9</v>
      </c>
      <c r="N21" s="70">
        <v>10.0</v>
      </c>
      <c r="O21" s="70">
        <v>5.5</v>
      </c>
      <c r="P21" s="70">
        <v>2.0</v>
      </c>
      <c r="Q21" s="71">
        <v>2.0</v>
      </c>
      <c r="R21" s="70">
        <v>5.0</v>
      </c>
      <c r="S21" s="70">
        <v>3.0</v>
      </c>
      <c r="T21" s="70">
        <v>1.0</v>
      </c>
      <c r="U21" s="70">
        <v>6.0</v>
      </c>
    </row>
    <row r="22">
      <c r="A22" s="68">
        <f>Worksheet!A21</f>
        <v>24301181</v>
      </c>
      <c r="B22" s="68" t="str">
        <f>Worksheet!B21</f>
        <v>Md Mahi Hyder</v>
      </c>
      <c r="C22" s="69">
        <f t="shared" si="1"/>
        <v>18</v>
      </c>
      <c r="D22" s="69">
        <f t="shared" si="2"/>
        <v>10.3</v>
      </c>
      <c r="E22" s="70">
        <v>5.0</v>
      </c>
      <c r="F22" s="70">
        <v>7.0</v>
      </c>
      <c r="G22" s="70">
        <v>0.0</v>
      </c>
      <c r="H22" s="70">
        <v>1.0</v>
      </c>
      <c r="I22" s="70">
        <v>4.0</v>
      </c>
      <c r="J22" s="70">
        <v>1.0</v>
      </c>
      <c r="L22" s="36">
        <f t="shared" si="3"/>
        <v>35</v>
      </c>
      <c r="M22" s="42">
        <f t="shared" si="4"/>
        <v>26.3</v>
      </c>
      <c r="N22" s="70">
        <v>10.0</v>
      </c>
      <c r="O22" s="70">
        <v>5.5</v>
      </c>
      <c r="P22" s="70">
        <v>2.0</v>
      </c>
      <c r="Q22" s="71">
        <v>0.0</v>
      </c>
      <c r="R22" s="70">
        <v>4.0</v>
      </c>
      <c r="S22" s="70">
        <v>2.0</v>
      </c>
      <c r="T22" s="70">
        <v>1.5</v>
      </c>
      <c r="U22" s="70">
        <v>10.0</v>
      </c>
    </row>
    <row r="23">
      <c r="A23" s="68">
        <f>Worksheet!A22</f>
        <v>24301184</v>
      </c>
      <c r="B23" s="68" t="str">
        <f>Worksheet!B22</f>
        <v>Md. Abrar Faiyaz</v>
      </c>
      <c r="C23" s="69">
        <f t="shared" si="1"/>
        <v>28.5</v>
      </c>
      <c r="D23" s="69">
        <f t="shared" si="2"/>
        <v>16.3</v>
      </c>
      <c r="E23" s="70">
        <v>7.5</v>
      </c>
      <c r="F23" s="70">
        <v>9.0</v>
      </c>
      <c r="G23" s="70">
        <v>1.0</v>
      </c>
      <c r="H23" s="70">
        <v>4.0</v>
      </c>
      <c r="I23" s="70">
        <v>4.0</v>
      </c>
      <c r="J23" s="70">
        <v>3.0</v>
      </c>
      <c r="L23" s="36">
        <f t="shared" si="3"/>
        <v>35</v>
      </c>
      <c r="M23" s="42">
        <f t="shared" si="4"/>
        <v>26.3</v>
      </c>
      <c r="N23" s="70">
        <v>9.0</v>
      </c>
      <c r="O23" s="70">
        <v>6.0</v>
      </c>
      <c r="P23" s="70">
        <v>2.0</v>
      </c>
      <c r="Q23" s="71">
        <v>0.0</v>
      </c>
      <c r="R23" s="70">
        <v>4.0</v>
      </c>
      <c r="S23" s="70">
        <v>3.0</v>
      </c>
      <c r="T23" s="70">
        <v>2.0</v>
      </c>
      <c r="U23" s="70">
        <v>9.0</v>
      </c>
    </row>
    <row r="24">
      <c r="A24" s="68">
        <f>Worksheet!A23</f>
        <v>24301192</v>
      </c>
      <c r="B24" s="68" t="str">
        <f>Worksheet!B23</f>
        <v>Mashfiqur Rahman Khan</v>
      </c>
      <c r="C24" s="69">
        <f t="shared" si="1"/>
        <v>13.5</v>
      </c>
      <c r="D24" s="69">
        <f t="shared" si="2"/>
        <v>7.8</v>
      </c>
      <c r="E24" s="70">
        <v>2.5</v>
      </c>
      <c r="F24" s="70">
        <v>4.0</v>
      </c>
      <c r="G24" s="70">
        <v>1.0</v>
      </c>
      <c r="H24" s="70">
        <v>2.0</v>
      </c>
      <c r="I24" s="70">
        <v>2.0</v>
      </c>
      <c r="J24" s="70">
        <v>2.0</v>
      </c>
      <c r="L24" s="36">
        <f t="shared" si="3"/>
        <v>32.5</v>
      </c>
      <c r="M24" s="42">
        <f t="shared" si="4"/>
        <v>24.4</v>
      </c>
      <c r="N24" s="70">
        <v>9.0</v>
      </c>
      <c r="O24" s="70">
        <v>5.0</v>
      </c>
      <c r="P24" s="70">
        <v>1.0</v>
      </c>
      <c r="Q24" s="71">
        <v>1.0</v>
      </c>
      <c r="R24" s="70">
        <v>5.0</v>
      </c>
      <c r="S24" s="70">
        <v>3.0</v>
      </c>
      <c r="T24" s="70">
        <v>2.0</v>
      </c>
      <c r="U24" s="70">
        <v>6.5</v>
      </c>
    </row>
    <row r="25">
      <c r="A25" s="68">
        <f>Worksheet!A24</f>
        <v>24301202</v>
      </c>
      <c r="B25" s="68" t="str">
        <f>Worksheet!B24</f>
        <v>Dibyo Singho Barua Subrajit</v>
      </c>
      <c r="C25" s="69">
        <f t="shared" si="1"/>
        <v>14</v>
      </c>
      <c r="D25" s="69">
        <f t="shared" si="2"/>
        <v>8</v>
      </c>
      <c r="E25" s="70">
        <v>2.0</v>
      </c>
      <c r="F25" s="70">
        <v>4.0</v>
      </c>
      <c r="G25" s="70">
        <v>1.0</v>
      </c>
      <c r="H25" s="70">
        <v>0.0</v>
      </c>
      <c r="I25" s="70">
        <v>3.0</v>
      </c>
      <c r="J25" s="70">
        <v>4.0</v>
      </c>
      <c r="L25" s="36">
        <f t="shared" si="3"/>
        <v>30.5</v>
      </c>
      <c r="M25" s="42">
        <f t="shared" si="4"/>
        <v>22.9</v>
      </c>
      <c r="N25" s="70">
        <v>8.0</v>
      </c>
      <c r="O25" s="70">
        <v>5.5</v>
      </c>
      <c r="P25" s="70">
        <v>2.0</v>
      </c>
      <c r="Q25" s="71">
        <v>0.0</v>
      </c>
      <c r="R25" s="70">
        <v>5.0</v>
      </c>
      <c r="S25" s="70">
        <v>2.0</v>
      </c>
      <c r="T25" s="70">
        <v>2.0</v>
      </c>
      <c r="U25" s="70">
        <v>6.0</v>
      </c>
    </row>
    <row r="26">
      <c r="A26" s="68">
        <f>Worksheet!A25</f>
        <v>24301306</v>
      </c>
      <c r="B26" s="68" t="str">
        <f>Worksheet!B25</f>
        <v>Md Fahmudur Rahman Fahim</v>
      </c>
      <c r="C26" s="69">
        <f t="shared" si="1"/>
        <v>14.5</v>
      </c>
      <c r="D26" s="69">
        <f t="shared" si="2"/>
        <v>8.3</v>
      </c>
      <c r="E26" s="70">
        <v>3.0</v>
      </c>
      <c r="F26" s="70">
        <v>4.5</v>
      </c>
      <c r="G26" s="70">
        <v>0.5</v>
      </c>
      <c r="H26" s="70">
        <v>0.0</v>
      </c>
      <c r="I26" s="70">
        <v>3.5</v>
      </c>
      <c r="J26" s="70">
        <v>3.0</v>
      </c>
      <c r="L26" s="36">
        <f t="shared" si="3"/>
        <v>25</v>
      </c>
      <c r="M26" s="42">
        <f t="shared" si="4"/>
        <v>18.8</v>
      </c>
      <c r="N26" s="70">
        <v>7.0</v>
      </c>
      <c r="O26" s="70">
        <v>3.0</v>
      </c>
      <c r="P26" s="70">
        <v>0.0</v>
      </c>
      <c r="Q26" s="71">
        <v>0.0</v>
      </c>
      <c r="R26" s="70">
        <v>4.0</v>
      </c>
      <c r="S26" s="70">
        <v>0.0</v>
      </c>
      <c r="T26" s="70">
        <v>2.0</v>
      </c>
      <c r="U26" s="70">
        <v>9.0</v>
      </c>
    </row>
    <row r="27">
      <c r="A27" s="68">
        <f>Worksheet!A26</f>
        <v>24301320</v>
      </c>
      <c r="B27" s="68" t="str">
        <f>Worksheet!B26</f>
        <v>Md Rafi Hasan</v>
      </c>
      <c r="C27" s="69">
        <f t="shared" si="1"/>
        <v>31</v>
      </c>
      <c r="D27" s="69">
        <f t="shared" si="2"/>
        <v>17.8</v>
      </c>
      <c r="E27" s="70">
        <v>7.5</v>
      </c>
      <c r="F27" s="70">
        <v>9.0</v>
      </c>
      <c r="G27" s="70">
        <v>0.5</v>
      </c>
      <c r="H27" s="70">
        <v>5.0</v>
      </c>
      <c r="I27" s="70">
        <v>4.0</v>
      </c>
      <c r="J27" s="70">
        <v>5.0</v>
      </c>
      <c r="L27" s="36">
        <f t="shared" si="3"/>
        <v>33</v>
      </c>
      <c r="M27" s="42">
        <f t="shared" si="4"/>
        <v>24.8</v>
      </c>
      <c r="N27" s="70">
        <v>9.0</v>
      </c>
      <c r="O27" s="70">
        <v>4.0</v>
      </c>
      <c r="P27" s="70">
        <v>1.0</v>
      </c>
      <c r="Q27" s="71">
        <v>1.0</v>
      </c>
      <c r="R27" s="70">
        <v>5.0</v>
      </c>
      <c r="S27" s="70">
        <v>2.0</v>
      </c>
      <c r="T27" s="70">
        <v>2.0</v>
      </c>
      <c r="U27" s="70">
        <v>9.0</v>
      </c>
    </row>
    <row r="28">
      <c r="A28" s="68">
        <f>Worksheet!A27</f>
        <v>24301321</v>
      </c>
      <c r="B28" s="68" t="str">
        <f>Worksheet!B27</f>
        <v>Nazif Ahmed Khan</v>
      </c>
      <c r="C28" s="69">
        <f t="shared" si="1"/>
        <v>12</v>
      </c>
      <c r="D28" s="69">
        <f t="shared" si="2"/>
        <v>6.9</v>
      </c>
      <c r="E28" s="70">
        <v>4.0</v>
      </c>
      <c r="F28" s="70">
        <v>7.0</v>
      </c>
      <c r="G28" s="70">
        <v>0.0</v>
      </c>
      <c r="H28" s="70">
        <v>1.0</v>
      </c>
      <c r="I28" s="70">
        <v>0.0</v>
      </c>
      <c r="J28" s="70">
        <v>0.0</v>
      </c>
      <c r="L28" s="36">
        <f t="shared" si="3"/>
        <v>25.5</v>
      </c>
      <c r="M28" s="42">
        <f t="shared" si="4"/>
        <v>19.2</v>
      </c>
      <c r="N28" s="70">
        <v>9.0</v>
      </c>
      <c r="O28" s="70">
        <v>2.0</v>
      </c>
      <c r="P28" s="70">
        <v>0.0</v>
      </c>
      <c r="Q28" s="71">
        <v>0.0</v>
      </c>
      <c r="R28" s="70">
        <v>5.0</v>
      </c>
      <c r="S28" s="70">
        <v>3.0</v>
      </c>
      <c r="T28" s="70">
        <v>0.0</v>
      </c>
      <c r="U28" s="70">
        <v>6.5</v>
      </c>
    </row>
    <row r="29">
      <c r="A29" s="68">
        <f>Worksheet!A28</f>
        <v>24301358</v>
      </c>
      <c r="B29" s="68" t="str">
        <f>Worksheet!B28</f>
        <v>Multazim Nazifa</v>
      </c>
      <c r="C29" s="69">
        <f t="shared" si="1"/>
        <v>27</v>
      </c>
      <c r="D29" s="69">
        <f t="shared" si="2"/>
        <v>15.5</v>
      </c>
      <c r="E29" s="70">
        <v>8.0</v>
      </c>
      <c r="F29" s="70">
        <v>9.0</v>
      </c>
      <c r="G29" s="70">
        <v>0.5</v>
      </c>
      <c r="H29" s="70">
        <v>1.0</v>
      </c>
      <c r="I29" s="70">
        <v>3.5</v>
      </c>
      <c r="J29" s="70">
        <v>5.0</v>
      </c>
      <c r="L29" s="36">
        <f t="shared" si="3"/>
        <v>35.5</v>
      </c>
      <c r="M29" s="42">
        <f t="shared" si="4"/>
        <v>26.7</v>
      </c>
      <c r="N29" s="70">
        <v>8.0</v>
      </c>
      <c r="O29" s="70">
        <v>6.0</v>
      </c>
      <c r="P29" s="70">
        <v>2.0</v>
      </c>
      <c r="Q29" s="71">
        <v>2.0</v>
      </c>
      <c r="R29" s="70">
        <v>5.0</v>
      </c>
      <c r="S29" s="70">
        <v>1.5</v>
      </c>
      <c r="T29" s="70">
        <v>2.0</v>
      </c>
      <c r="U29" s="70">
        <v>9.0</v>
      </c>
    </row>
    <row r="30">
      <c r="A30" s="68">
        <f>Worksheet!A29</f>
        <v>24301367</v>
      </c>
      <c r="B30" s="68" t="str">
        <f>Worksheet!B29</f>
        <v>Wazed Alam Wafi</v>
      </c>
      <c r="C30" s="69">
        <f t="shared" si="1"/>
        <v>24</v>
      </c>
      <c r="D30" s="69">
        <f t="shared" si="2"/>
        <v>13.8</v>
      </c>
      <c r="E30" s="70">
        <v>7.0</v>
      </c>
      <c r="F30" s="70">
        <v>7.0</v>
      </c>
      <c r="G30" s="70">
        <v>1.0</v>
      </c>
      <c r="H30" s="70">
        <v>3.0</v>
      </c>
      <c r="I30" s="70">
        <v>3.0</v>
      </c>
      <c r="J30" s="70">
        <v>3.0</v>
      </c>
      <c r="L30" s="36">
        <f t="shared" si="3"/>
        <v>28</v>
      </c>
      <c r="M30" s="42">
        <f t="shared" si="4"/>
        <v>21</v>
      </c>
      <c r="N30" s="70">
        <v>9.0</v>
      </c>
      <c r="O30" s="70">
        <v>6.0</v>
      </c>
      <c r="P30" s="70">
        <v>2.0</v>
      </c>
      <c r="Q30" s="71">
        <v>1.5</v>
      </c>
      <c r="R30" s="70">
        <v>3.0</v>
      </c>
      <c r="S30" s="70">
        <v>0.0</v>
      </c>
      <c r="T30" s="70">
        <v>0.5</v>
      </c>
      <c r="U30" s="70">
        <v>6.0</v>
      </c>
    </row>
    <row r="31">
      <c r="A31" s="68">
        <f>Worksheet!A30</f>
        <v>24301375</v>
      </c>
      <c r="B31" s="68" t="str">
        <f>Worksheet!B30</f>
        <v>Mohammad Riham Alam</v>
      </c>
      <c r="C31" s="69">
        <f t="shared" si="1"/>
        <v>17.5</v>
      </c>
      <c r="D31" s="69">
        <f t="shared" si="2"/>
        <v>10</v>
      </c>
      <c r="E31" s="70">
        <v>7.0</v>
      </c>
      <c r="F31" s="70">
        <v>5.0</v>
      </c>
      <c r="G31" s="70">
        <v>0.0</v>
      </c>
      <c r="H31" s="70">
        <v>0.0</v>
      </c>
      <c r="I31" s="70">
        <v>2.5</v>
      </c>
      <c r="J31" s="70">
        <v>3.0</v>
      </c>
      <c r="L31" s="36">
        <f t="shared" si="3"/>
        <v>33.5</v>
      </c>
      <c r="M31" s="42">
        <f t="shared" si="4"/>
        <v>25.2</v>
      </c>
      <c r="N31" s="70">
        <v>7.0</v>
      </c>
      <c r="O31" s="70">
        <v>6.0</v>
      </c>
      <c r="P31" s="70">
        <v>2.0</v>
      </c>
      <c r="Q31" s="71">
        <v>2.0</v>
      </c>
      <c r="R31" s="70">
        <v>4.0</v>
      </c>
      <c r="S31" s="70">
        <v>2.0</v>
      </c>
      <c r="T31" s="70">
        <v>2.0</v>
      </c>
      <c r="U31" s="70">
        <v>8.5</v>
      </c>
    </row>
    <row r="32">
      <c r="A32" s="68">
        <f>Worksheet!A31</f>
        <v>24301420</v>
      </c>
      <c r="B32" s="68" t="str">
        <f>Worksheet!B31</f>
        <v>Aronno Bless Rebeiro</v>
      </c>
      <c r="C32" s="69">
        <f t="shared" si="1"/>
        <v>15</v>
      </c>
      <c r="D32" s="69">
        <f t="shared" si="2"/>
        <v>8.6</v>
      </c>
      <c r="E32" s="70">
        <v>7.0</v>
      </c>
      <c r="F32" s="70">
        <v>4.0</v>
      </c>
      <c r="G32" s="70">
        <v>0.0</v>
      </c>
      <c r="H32" s="70">
        <v>0.0</v>
      </c>
      <c r="I32" s="70">
        <v>4.0</v>
      </c>
      <c r="J32" s="70">
        <v>0.0</v>
      </c>
      <c r="L32" s="36">
        <f t="shared" si="3"/>
        <v>30.5</v>
      </c>
      <c r="M32" s="42">
        <f t="shared" si="4"/>
        <v>22.9</v>
      </c>
      <c r="N32" s="70">
        <v>9.0</v>
      </c>
      <c r="O32" s="70">
        <v>5.0</v>
      </c>
      <c r="P32" s="70">
        <v>2.0</v>
      </c>
      <c r="Q32" s="71">
        <v>0.0</v>
      </c>
      <c r="R32" s="70">
        <v>3.5</v>
      </c>
      <c r="S32" s="70">
        <v>1.5</v>
      </c>
      <c r="T32" s="70">
        <v>1.5</v>
      </c>
      <c r="U32" s="70">
        <v>8.0</v>
      </c>
    </row>
    <row r="33">
      <c r="A33" s="68">
        <f>Worksheet!A32</f>
        <v>24301451</v>
      </c>
      <c r="B33" s="68" t="str">
        <f>Worksheet!B32</f>
        <v>Sampurna Dey</v>
      </c>
      <c r="C33" s="69">
        <f t="shared" si="1"/>
        <v>17</v>
      </c>
      <c r="D33" s="69">
        <f t="shared" si="2"/>
        <v>9.8</v>
      </c>
      <c r="E33" s="70">
        <v>6.0</v>
      </c>
      <c r="F33" s="70">
        <v>3.0</v>
      </c>
      <c r="G33" s="70">
        <v>0.0</v>
      </c>
      <c r="H33" s="70">
        <v>2.0</v>
      </c>
      <c r="I33" s="70">
        <v>3.0</v>
      </c>
      <c r="J33" s="70">
        <v>3.0</v>
      </c>
      <c r="L33" s="36">
        <f t="shared" si="3"/>
        <v>30</v>
      </c>
      <c r="M33" s="42">
        <f t="shared" si="4"/>
        <v>22.5</v>
      </c>
      <c r="N33" s="70">
        <v>8.0</v>
      </c>
      <c r="O33" s="70">
        <v>4.0</v>
      </c>
      <c r="P33" s="70">
        <v>1.0</v>
      </c>
      <c r="Q33" s="71">
        <v>1.0</v>
      </c>
      <c r="R33" s="70">
        <v>3.0</v>
      </c>
      <c r="S33" s="70">
        <v>3.0</v>
      </c>
      <c r="T33" s="70">
        <v>1.0</v>
      </c>
      <c r="U33" s="70">
        <v>9.0</v>
      </c>
    </row>
    <row r="34">
      <c r="A34" s="68">
        <f>Worksheet!A33</f>
        <v>24301484</v>
      </c>
      <c r="B34" s="68" t="str">
        <f>Worksheet!B33</f>
        <v>Md. Iftekhar Haque Iftee</v>
      </c>
      <c r="C34" s="69">
        <f t="shared" si="1"/>
        <v>28</v>
      </c>
      <c r="D34" s="69">
        <f t="shared" si="2"/>
        <v>16</v>
      </c>
      <c r="E34" s="70">
        <v>6.0</v>
      </c>
      <c r="F34" s="70">
        <v>9.0</v>
      </c>
      <c r="G34" s="70">
        <v>1.0</v>
      </c>
      <c r="H34" s="70">
        <v>3.0</v>
      </c>
      <c r="I34" s="70">
        <v>4.0</v>
      </c>
      <c r="J34" s="70">
        <v>5.0</v>
      </c>
      <c r="L34" s="36">
        <f t="shared" si="3"/>
        <v>35.5</v>
      </c>
      <c r="M34" s="42">
        <f t="shared" si="4"/>
        <v>26.7</v>
      </c>
      <c r="N34" s="70">
        <v>10.0</v>
      </c>
      <c r="O34" s="70">
        <v>5.0</v>
      </c>
      <c r="P34" s="70">
        <v>2.0</v>
      </c>
      <c r="Q34" s="71">
        <v>1.0</v>
      </c>
      <c r="R34" s="70">
        <v>5.0</v>
      </c>
      <c r="S34" s="70">
        <v>2.0</v>
      </c>
      <c r="T34" s="70">
        <v>1.5</v>
      </c>
      <c r="U34" s="70">
        <v>9.0</v>
      </c>
    </row>
    <row r="35">
      <c r="A35" s="68">
        <f>Worksheet!A34</f>
        <v>24301499</v>
      </c>
      <c r="B35" s="68" t="str">
        <f>Worksheet!B34</f>
        <v>Zarifah Morshed Nuren</v>
      </c>
      <c r="C35" s="69">
        <f t="shared" si="1"/>
        <v>23.5</v>
      </c>
      <c r="D35" s="69">
        <f t="shared" si="2"/>
        <v>13.5</v>
      </c>
      <c r="E35" s="70">
        <v>7.5</v>
      </c>
      <c r="F35" s="70">
        <v>5.0</v>
      </c>
      <c r="G35" s="70">
        <v>0.0</v>
      </c>
      <c r="H35" s="70">
        <v>2.0</v>
      </c>
      <c r="I35" s="70">
        <v>4.0</v>
      </c>
      <c r="J35" s="70">
        <v>5.0</v>
      </c>
      <c r="L35" s="36">
        <f t="shared" si="3"/>
        <v>35</v>
      </c>
      <c r="M35" s="42">
        <f t="shared" si="4"/>
        <v>26.3</v>
      </c>
      <c r="N35" s="70">
        <v>10.0</v>
      </c>
      <c r="O35" s="70">
        <v>5.0</v>
      </c>
      <c r="P35" s="70">
        <v>1.0</v>
      </c>
      <c r="Q35" s="71">
        <v>2.0</v>
      </c>
      <c r="R35" s="70">
        <v>4.0</v>
      </c>
      <c r="S35" s="70">
        <v>2.0</v>
      </c>
      <c r="T35" s="70">
        <v>1.0</v>
      </c>
      <c r="U35" s="70">
        <v>10.0</v>
      </c>
    </row>
    <row r="36">
      <c r="A36" s="68">
        <f>Worksheet!A35</f>
        <v>24301519</v>
      </c>
      <c r="B36" s="68" t="str">
        <f>Worksheet!B35</f>
        <v>Monira Mehjabeen Eva</v>
      </c>
      <c r="C36" s="69">
        <f t="shared" si="1"/>
        <v>20.5</v>
      </c>
      <c r="D36" s="69">
        <f t="shared" si="2"/>
        <v>11.8</v>
      </c>
      <c r="E36" s="70">
        <v>7.5</v>
      </c>
      <c r="F36" s="70">
        <v>4.0</v>
      </c>
      <c r="G36" s="70">
        <v>0.0</v>
      </c>
      <c r="H36" s="70">
        <v>1.0</v>
      </c>
      <c r="I36" s="70">
        <v>4.0</v>
      </c>
      <c r="J36" s="70">
        <v>4.0</v>
      </c>
      <c r="L36" s="36">
        <f t="shared" si="3"/>
        <v>34</v>
      </c>
      <c r="M36" s="42">
        <f t="shared" si="4"/>
        <v>25.5</v>
      </c>
      <c r="N36" s="70">
        <v>10.0</v>
      </c>
      <c r="O36" s="70">
        <v>4.0</v>
      </c>
      <c r="P36" s="70">
        <v>2.0</v>
      </c>
      <c r="Q36" s="71">
        <v>1.0</v>
      </c>
      <c r="R36" s="70">
        <v>5.0</v>
      </c>
      <c r="S36" s="70">
        <v>2.0</v>
      </c>
      <c r="T36" s="70">
        <v>1.0</v>
      </c>
      <c r="U36" s="70">
        <v>9.0</v>
      </c>
    </row>
    <row r="37">
      <c r="A37" s="68">
        <f>Worksheet!A36</f>
        <v>24301546</v>
      </c>
      <c r="B37" s="68" t="str">
        <f>Worksheet!B36</f>
        <v>Manjurul Ahsan Hemel</v>
      </c>
      <c r="C37" s="69">
        <f t="shared" si="1"/>
        <v>8</v>
      </c>
      <c r="D37" s="69">
        <f t="shared" si="2"/>
        <v>4.6</v>
      </c>
      <c r="E37" s="70">
        <v>4.0</v>
      </c>
      <c r="F37" s="70">
        <v>4.0</v>
      </c>
      <c r="G37" s="70">
        <v>0.0</v>
      </c>
      <c r="H37" s="70">
        <v>0.0</v>
      </c>
      <c r="I37" s="70">
        <v>0.0</v>
      </c>
      <c r="J37" s="70">
        <v>0.0</v>
      </c>
      <c r="L37" s="36">
        <f t="shared" si="3"/>
        <v>26</v>
      </c>
      <c r="M37" s="42">
        <f t="shared" si="4"/>
        <v>19.5</v>
      </c>
      <c r="N37" s="70">
        <v>8.0</v>
      </c>
      <c r="O37" s="70">
        <v>4.0</v>
      </c>
      <c r="P37" s="70">
        <v>0.0</v>
      </c>
      <c r="Q37" s="71">
        <v>0.0</v>
      </c>
      <c r="R37" s="70">
        <v>4.0</v>
      </c>
      <c r="S37" s="70">
        <v>2.0</v>
      </c>
      <c r="T37" s="70">
        <v>0.0</v>
      </c>
      <c r="U37" s="70">
        <v>8.0</v>
      </c>
    </row>
    <row r="38">
      <c r="A38" s="72">
        <f>Worksheet!A37</f>
        <v>24315010</v>
      </c>
      <c r="B38" s="72" t="str">
        <f>Worksheet!B37</f>
        <v>Saadat Khan</v>
      </c>
      <c r="C38" s="73">
        <f t="shared" si="1"/>
        <v>16</v>
      </c>
      <c r="D38" s="69">
        <f t="shared" si="2"/>
        <v>9.2</v>
      </c>
      <c r="E38" s="74">
        <v>6.0</v>
      </c>
      <c r="F38" s="74">
        <v>4.0</v>
      </c>
      <c r="G38" s="74">
        <v>0.0</v>
      </c>
      <c r="H38" s="74">
        <v>2.0</v>
      </c>
      <c r="I38" s="74">
        <v>3.0</v>
      </c>
      <c r="J38" s="74">
        <v>1.0</v>
      </c>
      <c r="K38" s="73"/>
      <c r="L38" s="75">
        <f t="shared" si="3"/>
        <v>22</v>
      </c>
      <c r="M38" s="42">
        <f t="shared" si="4"/>
        <v>16.5</v>
      </c>
      <c r="N38" s="74">
        <v>6.0</v>
      </c>
      <c r="O38" s="74">
        <v>3.0</v>
      </c>
      <c r="P38" s="74">
        <v>0.0</v>
      </c>
      <c r="Q38" s="76">
        <v>1.0</v>
      </c>
      <c r="R38" s="74">
        <v>5.0</v>
      </c>
      <c r="S38" s="74">
        <v>3.0</v>
      </c>
      <c r="T38" s="74">
        <v>0.0</v>
      </c>
      <c r="U38" s="74">
        <v>4.0</v>
      </c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>
      <c r="A39" s="68">
        <f>Worksheet!A38</f>
        <v>24321222</v>
      </c>
      <c r="B39" s="79" t="str">
        <f>Worksheet!B38</f>
        <v>Mir Mainul Ahmed</v>
      </c>
      <c r="C39" s="69">
        <f t="shared" si="1"/>
        <v>20.5</v>
      </c>
      <c r="D39" s="69">
        <f t="shared" si="2"/>
        <v>11.8</v>
      </c>
      <c r="E39" s="70">
        <v>7.0</v>
      </c>
      <c r="F39" s="70">
        <v>6.0</v>
      </c>
      <c r="G39" s="70">
        <v>0.5</v>
      </c>
      <c r="H39" s="70">
        <v>0.0</v>
      </c>
      <c r="I39" s="70">
        <v>4.0</v>
      </c>
      <c r="J39" s="70">
        <v>3.0</v>
      </c>
      <c r="L39" s="36">
        <f t="shared" si="3"/>
        <v>32.5</v>
      </c>
      <c r="M39" s="42">
        <f t="shared" si="4"/>
        <v>24.4</v>
      </c>
      <c r="N39" s="70">
        <v>10.0</v>
      </c>
      <c r="O39" s="70">
        <v>5.0</v>
      </c>
      <c r="P39" s="70">
        <v>1.0</v>
      </c>
      <c r="Q39" s="71">
        <v>1.0</v>
      </c>
      <c r="R39" s="70">
        <v>3.5</v>
      </c>
      <c r="S39" s="70">
        <v>2.0</v>
      </c>
      <c r="T39" s="70">
        <v>2.0</v>
      </c>
      <c r="U39" s="70">
        <v>8.0</v>
      </c>
    </row>
    <row r="40">
      <c r="C40" s="80">
        <f>COUNTIF(C3:C39,"&gt;0")</f>
        <v>36</v>
      </c>
      <c r="E40" s="60" t="s">
        <v>109</v>
      </c>
      <c r="F40" s="60" t="s">
        <v>110</v>
      </c>
      <c r="G40" s="60" t="s">
        <v>109</v>
      </c>
      <c r="H40" s="60" t="s">
        <v>109</v>
      </c>
      <c r="I40" s="60" t="s">
        <v>110</v>
      </c>
      <c r="J40" s="60" t="s">
        <v>111</v>
      </c>
      <c r="L40" s="80">
        <f>COUNTIF(L3:L39,"&gt;0")</f>
        <v>33</v>
      </c>
      <c r="M40" s="65"/>
      <c r="N40" s="66"/>
      <c r="O40" s="66"/>
      <c r="P40" s="66"/>
      <c r="Q40" s="66"/>
      <c r="R40" s="66"/>
      <c r="S40" s="66"/>
      <c r="T40" s="66"/>
      <c r="U40" s="66"/>
    </row>
    <row r="41">
      <c r="E41" s="60" t="s">
        <v>114</v>
      </c>
      <c r="F41" s="60" t="s">
        <v>115</v>
      </c>
      <c r="G41" s="60" t="s">
        <v>116</v>
      </c>
      <c r="H41" s="60" t="s">
        <v>117</v>
      </c>
      <c r="I41" s="60" t="s">
        <v>118</v>
      </c>
      <c r="J41" s="60" t="s">
        <v>119</v>
      </c>
      <c r="O41" s="14"/>
      <c r="Q41" s="42"/>
    </row>
    <row r="42">
      <c r="O42" s="14"/>
      <c r="Q42" s="42"/>
    </row>
    <row r="43">
      <c r="O43" s="14"/>
      <c r="Q43" s="42"/>
    </row>
    <row r="44">
      <c r="O44" s="14"/>
      <c r="Q44" s="42"/>
    </row>
    <row r="45">
      <c r="O45" s="14"/>
      <c r="Q45" s="42"/>
    </row>
    <row r="46">
      <c r="E46" s="81"/>
      <c r="F46" s="81"/>
      <c r="G46" s="81"/>
      <c r="H46" s="81"/>
      <c r="I46" s="81"/>
      <c r="J46" s="82"/>
      <c r="O46" s="14"/>
      <c r="Q46" s="42"/>
    </row>
    <row r="47">
      <c r="E47" s="83"/>
      <c r="O47" s="14"/>
      <c r="Q47" s="42"/>
    </row>
    <row r="48">
      <c r="O48" s="14"/>
      <c r="Q48" s="42"/>
    </row>
    <row r="49">
      <c r="O49" s="14"/>
      <c r="Q49" s="42"/>
    </row>
    <row r="50">
      <c r="O50" s="14"/>
      <c r="Q50" s="42"/>
    </row>
    <row r="51">
      <c r="O51" s="14"/>
      <c r="Q51" s="42"/>
    </row>
    <row r="52">
      <c r="O52" s="14"/>
      <c r="Q52" s="42"/>
    </row>
    <row r="53">
      <c r="O53" s="14"/>
      <c r="Q53" s="42"/>
    </row>
    <row r="54">
      <c r="O54" s="14"/>
      <c r="Q54" s="42"/>
    </row>
    <row r="55">
      <c r="O55" s="14"/>
      <c r="Q55" s="42"/>
    </row>
    <row r="56">
      <c r="O56" s="14"/>
      <c r="Q56" s="42"/>
    </row>
    <row r="57">
      <c r="O57" s="14"/>
      <c r="Q57" s="42"/>
    </row>
    <row r="58">
      <c r="O58" s="14"/>
      <c r="Q58" s="42"/>
    </row>
    <row r="59">
      <c r="O59" s="14"/>
      <c r="Q59" s="42"/>
    </row>
    <row r="60">
      <c r="O60" s="14"/>
      <c r="Q60" s="42"/>
    </row>
    <row r="61">
      <c r="O61" s="14"/>
      <c r="Q61" s="42"/>
    </row>
    <row r="62">
      <c r="O62" s="14"/>
      <c r="Q62" s="42"/>
    </row>
    <row r="63">
      <c r="O63" s="14"/>
      <c r="Q63" s="42"/>
    </row>
    <row r="64">
      <c r="O64" s="14"/>
      <c r="Q64" s="42"/>
    </row>
    <row r="65">
      <c r="O65" s="14"/>
      <c r="Q65" s="42"/>
    </row>
    <row r="66">
      <c r="O66" s="14"/>
      <c r="Q66" s="42"/>
    </row>
    <row r="67">
      <c r="O67" s="14"/>
      <c r="Q67" s="42"/>
    </row>
    <row r="68">
      <c r="O68" s="14"/>
      <c r="Q68" s="42"/>
    </row>
    <row r="69">
      <c r="O69" s="14"/>
      <c r="Q69" s="42"/>
    </row>
    <row r="70">
      <c r="O70" s="14"/>
      <c r="Q70" s="42"/>
    </row>
    <row r="71">
      <c r="O71" s="14"/>
      <c r="Q71" s="42"/>
    </row>
    <row r="72">
      <c r="O72" s="14"/>
      <c r="Q72" s="42"/>
    </row>
    <row r="73">
      <c r="O73" s="14"/>
      <c r="Q73" s="42"/>
    </row>
    <row r="74">
      <c r="O74" s="14"/>
      <c r="Q74" s="42"/>
    </row>
    <row r="75">
      <c r="O75" s="14"/>
      <c r="Q75" s="42"/>
    </row>
    <row r="76">
      <c r="O76" s="14"/>
      <c r="Q76" s="42"/>
    </row>
    <row r="77">
      <c r="O77" s="14"/>
      <c r="Q77" s="42"/>
    </row>
    <row r="78">
      <c r="O78" s="14"/>
      <c r="Q78" s="42"/>
    </row>
    <row r="79">
      <c r="O79" s="14"/>
      <c r="Q79" s="42"/>
    </row>
    <row r="80">
      <c r="O80" s="14"/>
      <c r="Q80" s="42"/>
    </row>
    <row r="81">
      <c r="O81" s="14"/>
      <c r="Q81" s="42"/>
    </row>
    <row r="82">
      <c r="O82" s="14"/>
      <c r="Q82" s="42"/>
    </row>
    <row r="83">
      <c r="O83" s="14"/>
      <c r="Q83" s="42"/>
    </row>
    <row r="84">
      <c r="O84" s="14"/>
      <c r="Q84" s="42"/>
    </row>
    <row r="85">
      <c r="O85" s="14"/>
      <c r="Q85" s="42"/>
    </row>
    <row r="86">
      <c r="O86" s="14"/>
      <c r="Q86" s="42"/>
    </row>
    <row r="87">
      <c r="O87" s="14"/>
      <c r="Q87" s="42"/>
    </row>
    <row r="88">
      <c r="O88" s="14"/>
      <c r="Q88" s="42"/>
    </row>
    <row r="89">
      <c r="O89" s="14"/>
      <c r="Q89" s="42"/>
    </row>
    <row r="90">
      <c r="O90" s="14"/>
      <c r="Q90" s="42"/>
    </row>
    <row r="91">
      <c r="O91" s="14"/>
      <c r="Q91" s="42"/>
    </row>
    <row r="92">
      <c r="O92" s="14"/>
      <c r="Q92" s="42"/>
    </row>
    <row r="93">
      <c r="O93" s="14"/>
      <c r="Q93" s="42"/>
    </row>
    <row r="94">
      <c r="O94" s="14"/>
      <c r="Q94" s="42"/>
    </row>
    <row r="95">
      <c r="O95" s="14"/>
      <c r="Q95" s="42"/>
    </row>
    <row r="96">
      <c r="O96" s="14"/>
      <c r="Q96" s="42"/>
    </row>
    <row r="97">
      <c r="O97" s="14"/>
      <c r="Q97" s="42"/>
    </row>
    <row r="98">
      <c r="O98" s="14"/>
      <c r="Q98" s="42"/>
    </row>
    <row r="99">
      <c r="O99" s="14"/>
      <c r="Q99" s="42"/>
    </row>
    <row r="100">
      <c r="O100" s="14"/>
      <c r="Q100" s="42"/>
    </row>
    <row r="101">
      <c r="O101" s="14"/>
      <c r="Q101" s="42"/>
    </row>
    <row r="102">
      <c r="O102" s="14"/>
      <c r="Q102" s="42"/>
    </row>
    <row r="103">
      <c r="O103" s="14"/>
      <c r="Q103" s="42"/>
    </row>
    <row r="104">
      <c r="O104" s="14"/>
      <c r="Q104" s="42"/>
    </row>
    <row r="105">
      <c r="O105" s="14"/>
      <c r="Q105" s="42"/>
    </row>
    <row r="106">
      <c r="O106" s="14"/>
      <c r="Q106" s="42"/>
    </row>
    <row r="107">
      <c r="O107" s="14"/>
      <c r="Q107" s="42"/>
    </row>
    <row r="108">
      <c r="O108" s="14"/>
      <c r="Q108" s="42"/>
    </row>
    <row r="109">
      <c r="O109" s="14"/>
      <c r="Q109" s="42"/>
    </row>
    <row r="110">
      <c r="O110" s="14"/>
      <c r="Q110" s="42"/>
    </row>
    <row r="111">
      <c r="O111" s="14"/>
      <c r="Q111" s="42"/>
    </row>
    <row r="112">
      <c r="O112" s="14"/>
      <c r="Q112" s="42"/>
    </row>
    <row r="113">
      <c r="O113" s="14"/>
      <c r="Q113" s="42"/>
    </row>
    <row r="114">
      <c r="O114" s="14"/>
      <c r="Q114" s="42"/>
    </row>
    <row r="115">
      <c r="O115" s="14"/>
      <c r="Q115" s="42"/>
    </row>
    <row r="116">
      <c r="O116" s="14"/>
      <c r="Q116" s="42"/>
    </row>
    <row r="117">
      <c r="O117" s="14"/>
      <c r="Q117" s="42"/>
    </row>
    <row r="118">
      <c r="O118" s="14"/>
      <c r="Q118" s="42"/>
    </row>
    <row r="119">
      <c r="O119" s="14"/>
      <c r="Q119" s="42"/>
    </row>
    <row r="120">
      <c r="O120" s="14"/>
      <c r="Q120" s="42"/>
    </row>
    <row r="121">
      <c r="O121" s="14"/>
      <c r="Q121" s="42"/>
    </row>
    <row r="122">
      <c r="O122" s="14"/>
      <c r="Q122" s="42"/>
    </row>
    <row r="123">
      <c r="O123" s="14"/>
      <c r="Q123" s="42"/>
    </row>
    <row r="124">
      <c r="O124" s="14"/>
      <c r="Q124" s="42"/>
    </row>
    <row r="125">
      <c r="O125" s="14"/>
      <c r="Q125" s="42"/>
    </row>
    <row r="126">
      <c r="O126" s="14"/>
      <c r="Q126" s="42"/>
    </row>
    <row r="127">
      <c r="O127" s="14"/>
      <c r="Q127" s="42"/>
    </row>
    <row r="128">
      <c r="O128" s="14"/>
      <c r="Q128" s="42"/>
    </row>
    <row r="129">
      <c r="O129" s="14"/>
      <c r="Q129" s="42"/>
    </row>
    <row r="130">
      <c r="O130" s="14"/>
      <c r="Q130" s="42"/>
    </row>
    <row r="131">
      <c r="O131" s="14"/>
      <c r="Q131" s="42"/>
    </row>
    <row r="132">
      <c r="O132" s="14"/>
      <c r="Q132" s="42"/>
    </row>
    <row r="133">
      <c r="O133" s="14"/>
      <c r="Q133" s="42"/>
    </row>
    <row r="134">
      <c r="O134" s="14"/>
      <c r="Q134" s="42"/>
    </row>
    <row r="135">
      <c r="O135" s="14"/>
      <c r="Q135" s="42"/>
    </row>
    <row r="136">
      <c r="O136" s="14"/>
      <c r="Q136" s="42"/>
    </row>
    <row r="137">
      <c r="O137" s="14"/>
      <c r="Q137" s="42"/>
    </row>
    <row r="138">
      <c r="O138" s="14"/>
      <c r="Q138" s="42"/>
    </row>
    <row r="139">
      <c r="O139" s="14"/>
      <c r="Q139" s="42"/>
    </row>
    <row r="140">
      <c r="O140" s="14"/>
      <c r="Q140" s="42"/>
    </row>
    <row r="141">
      <c r="O141" s="14"/>
      <c r="Q141" s="42"/>
    </row>
    <row r="142">
      <c r="O142" s="14"/>
      <c r="Q142" s="42"/>
    </row>
    <row r="143">
      <c r="O143" s="14"/>
      <c r="Q143" s="42"/>
    </row>
    <row r="144">
      <c r="O144" s="14"/>
      <c r="Q144" s="42"/>
    </row>
    <row r="145">
      <c r="O145" s="14"/>
      <c r="Q145" s="42"/>
    </row>
    <row r="146">
      <c r="O146" s="14"/>
      <c r="Q146" s="42"/>
    </row>
    <row r="147">
      <c r="O147" s="14"/>
      <c r="Q147" s="42"/>
    </row>
    <row r="148">
      <c r="O148" s="14"/>
      <c r="Q148" s="42"/>
    </row>
    <row r="149">
      <c r="O149" s="14"/>
      <c r="Q149" s="42"/>
    </row>
    <row r="150">
      <c r="O150" s="14"/>
      <c r="Q150" s="42"/>
    </row>
    <row r="151">
      <c r="O151" s="14"/>
      <c r="Q151" s="42"/>
    </row>
    <row r="152">
      <c r="O152" s="14"/>
      <c r="Q152" s="42"/>
    </row>
    <row r="153">
      <c r="O153" s="14"/>
      <c r="Q153" s="42"/>
    </row>
    <row r="154">
      <c r="O154" s="14"/>
      <c r="Q154" s="42"/>
    </row>
    <row r="155">
      <c r="O155" s="14"/>
      <c r="Q155" s="42"/>
    </row>
    <row r="156">
      <c r="O156" s="14"/>
      <c r="Q156" s="42"/>
    </row>
    <row r="157">
      <c r="O157" s="14"/>
      <c r="Q157" s="42"/>
    </row>
    <row r="158">
      <c r="O158" s="14"/>
      <c r="Q158" s="42"/>
    </row>
    <row r="159">
      <c r="O159" s="14"/>
      <c r="Q159" s="42"/>
    </row>
    <row r="160">
      <c r="O160" s="14"/>
      <c r="Q160" s="42"/>
    </row>
    <row r="161">
      <c r="O161" s="14"/>
      <c r="Q161" s="42"/>
    </row>
    <row r="162">
      <c r="O162" s="14"/>
      <c r="Q162" s="42"/>
    </row>
    <row r="163">
      <c r="O163" s="14"/>
      <c r="Q163" s="42"/>
    </row>
    <row r="164">
      <c r="O164" s="14"/>
      <c r="Q164" s="42"/>
    </row>
    <row r="165">
      <c r="O165" s="14"/>
      <c r="Q165" s="42"/>
    </row>
    <row r="166">
      <c r="O166" s="14"/>
      <c r="Q166" s="42"/>
    </row>
    <row r="167">
      <c r="O167" s="14"/>
      <c r="Q167" s="42"/>
    </row>
    <row r="168">
      <c r="O168" s="14"/>
      <c r="Q168" s="42"/>
    </row>
    <row r="169">
      <c r="O169" s="14"/>
      <c r="Q169" s="42"/>
    </row>
    <row r="170">
      <c r="O170" s="14"/>
      <c r="Q170" s="42"/>
    </row>
    <row r="171">
      <c r="O171" s="14"/>
      <c r="Q171" s="42"/>
    </row>
    <row r="172">
      <c r="O172" s="14"/>
      <c r="Q172" s="42"/>
    </row>
    <row r="173">
      <c r="O173" s="14"/>
      <c r="Q173" s="42"/>
    </row>
    <row r="174">
      <c r="O174" s="14"/>
      <c r="Q174" s="42"/>
    </row>
    <row r="175">
      <c r="O175" s="14"/>
      <c r="Q175" s="42"/>
    </row>
    <row r="176">
      <c r="O176" s="14"/>
      <c r="Q176" s="42"/>
    </row>
    <row r="177">
      <c r="O177" s="14"/>
      <c r="Q177" s="42"/>
    </row>
    <row r="178">
      <c r="O178" s="14"/>
      <c r="Q178" s="42"/>
    </row>
    <row r="179">
      <c r="O179" s="14"/>
      <c r="Q179" s="42"/>
    </row>
    <row r="180">
      <c r="O180" s="14"/>
      <c r="Q180" s="42"/>
    </row>
    <row r="181">
      <c r="O181" s="14"/>
      <c r="Q181" s="42"/>
    </row>
    <row r="182">
      <c r="O182" s="14"/>
      <c r="Q182" s="42"/>
    </row>
    <row r="183">
      <c r="O183" s="14"/>
      <c r="Q183" s="42"/>
    </row>
    <row r="184">
      <c r="O184" s="14"/>
      <c r="Q184" s="42"/>
    </row>
    <row r="185">
      <c r="O185" s="14"/>
      <c r="Q185" s="42"/>
    </row>
    <row r="186">
      <c r="O186" s="14"/>
      <c r="Q186" s="42"/>
    </row>
    <row r="187">
      <c r="O187" s="14"/>
      <c r="Q187" s="42"/>
    </row>
    <row r="188">
      <c r="O188" s="14"/>
      <c r="Q188" s="42"/>
    </row>
    <row r="189">
      <c r="O189" s="14"/>
      <c r="Q189" s="42"/>
    </row>
    <row r="190">
      <c r="O190" s="14"/>
      <c r="Q190" s="42"/>
    </row>
    <row r="191">
      <c r="O191" s="14"/>
      <c r="Q191" s="42"/>
    </row>
    <row r="192">
      <c r="O192" s="14"/>
      <c r="Q192" s="42"/>
    </row>
    <row r="193">
      <c r="O193" s="14"/>
      <c r="Q193" s="42"/>
    </row>
    <row r="194">
      <c r="O194" s="14"/>
      <c r="Q194" s="42"/>
    </row>
    <row r="195">
      <c r="O195" s="14"/>
      <c r="Q195" s="42"/>
    </row>
    <row r="196">
      <c r="O196" s="14"/>
      <c r="Q196" s="42"/>
    </row>
    <row r="197">
      <c r="O197" s="14"/>
      <c r="Q197" s="42"/>
    </row>
    <row r="198">
      <c r="O198" s="14"/>
      <c r="Q198" s="42"/>
    </row>
    <row r="199">
      <c r="O199" s="14"/>
      <c r="Q199" s="42"/>
    </row>
    <row r="200">
      <c r="O200" s="14"/>
      <c r="Q200" s="42"/>
    </row>
    <row r="201">
      <c r="O201" s="14"/>
      <c r="Q201" s="42"/>
    </row>
    <row r="202">
      <c r="O202" s="14"/>
      <c r="Q202" s="42"/>
    </row>
    <row r="203">
      <c r="O203" s="14"/>
      <c r="Q203" s="42"/>
    </row>
    <row r="204">
      <c r="O204" s="14"/>
      <c r="Q204" s="42"/>
    </row>
    <row r="205">
      <c r="O205" s="14"/>
      <c r="Q205" s="42"/>
    </row>
    <row r="206">
      <c r="O206" s="14"/>
      <c r="Q206" s="42"/>
    </row>
    <row r="207">
      <c r="O207" s="14"/>
      <c r="Q207" s="42"/>
    </row>
    <row r="208">
      <c r="O208" s="14"/>
      <c r="Q208" s="42"/>
    </row>
    <row r="209">
      <c r="O209" s="14"/>
      <c r="Q209" s="42"/>
    </row>
    <row r="210">
      <c r="O210" s="14"/>
      <c r="Q210" s="42"/>
    </row>
    <row r="211">
      <c r="O211" s="14"/>
      <c r="Q211" s="42"/>
    </row>
    <row r="212">
      <c r="O212" s="14"/>
      <c r="Q212" s="42"/>
    </row>
    <row r="213">
      <c r="O213" s="14"/>
      <c r="Q213" s="42"/>
    </row>
    <row r="214">
      <c r="O214" s="14"/>
      <c r="Q214" s="42"/>
    </row>
    <row r="215">
      <c r="O215" s="14"/>
      <c r="Q215" s="42"/>
    </row>
    <row r="216">
      <c r="O216" s="14"/>
      <c r="Q216" s="42"/>
    </row>
    <row r="217">
      <c r="O217" s="14"/>
      <c r="Q217" s="42"/>
    </row>
    <row r="218">
      <c r="O218" s="14"/>
      <c r="Q218" s="42"/>
    </row>
    <row r="219">
      <c r="O219" s="14"/>
      <c r="Q219" s="42"/>
    </row>
    <row r="220">
      <c r="O220" s="14"/>
      <c r="Q220" s="42"/>
    </row>
    <row r="221">
      <c r="O221" s="14"/>
      <c r="Q221" s="42"/>
    </row>
    <row r="222">
      <c r="O222" s="14"/>
      <c r="Q222" s="42"/>
    </row>
    <row r="223">
      <c r="O223" s="14"/>
      <c r="Q223" s="42"/>
    </row>
    <row r="224">
      <c r="O224" s="14"/>
      <c r="Q224" s="42"/>
    </row>
    <row r="225">
      <c r="O225" s="14"/>
      <c r="Q225" s="42"/>
    </row>
    <row r="226">
      <c r="O226" s="14"/>
      <c r="Q226" s="42"/>
    </row>
    <row r="227">
      <c r="O227" s="14"/>
      <c r="Q227" s="42"/>
    </row>
    <row r="228">
      <c r="O228" s="14"/>
      <c r="Q228" s="42"/>
    </row>
    <row r="229">
      <c r="O229" s="14"/>
      <c r="Q229" s="42"/>
    </row>
    <row r="230">
      <c r="O230" s="14"/>
      <c r="Q230" s="42"/>
    </row>
    <row r="231">
      <c r="O231" s="14"/>
      <c r="Q231" s="42"/>
    </row>
    <row r="232">
      <c r="O232" s="14"/>
      <c r="Q232" s="42"/>
    </row>
    <row r="233">
      <c r="O233" s="14"/>
      <c r="Q233" s="42"/>
    </row>
    <row r="234">
      <c r="O234" s="14"/>
      <c r="Q234" s="42"/>
    </row>
    <row r="235">
      <c r="O235" s="14"/>
      <c r="Q235" s="42"/>
    </row>
    <row r="236">
      <c r="O236" s="14"/>
      <c r="Q236" s="42"/>
    </row>
    <row r="237">
      <c r="O237" s="14"/>
      <c r="Q237" s="42"/>
    </row>
    <row r="238">
      <c r="O238" s="14"/>
      <c r="Q238" s="42"/>
    </row>
    <row r="239">
      <c r="O239" s="14"/>
      <c r="Q239" s="42"/>
    </row>
    <row r="240">
      <c r="O240" s="14"/>
      <c r="Q240" s="42"/>
    </row>
    <row r="241">
      <c r="O241" s="14"/>
      <c r="Q241" s="42"/>
    </row>
    <row r="242">
      <c r="O242" s="14"/>
      <c r="Q242" s="42"/>
    </row>
    <row r="243">
      <c r="O243" s="14"/>
      <c r="Q243" s="42"/>
    </row>
    <row r="244">
      <c r="O244" s="14"/>
      <c r="Q244" s="42"/>
    </row>
    <row r="245">
      <c r="O245" s="14"/>
      <c r="Q245" s="42"/>
    </row>
    <row r="246">
      <c r="O246" s="14"/>
      <c r="Q246" s="42"/>
    </row>
    <row r="247">
      <c r="O247" s="14"/>
      <c r="Q247" s="42"/>
    </row>
    <row r="248">
      <c r="O248" s="14"/>
      <c r="Q248" s="42"/>
    </row>
    <row r="249">
      <c r="O249" s="14"/>
      <c r="Q249" s="42"/>
    </row>
    <row r="250">
      <c r="O250" s="14"/>
      <c r="Q250" s="42"/>
    </row>
    <row r="251">
      <c r="O251" s="14"/>
      <c r="Q251" s="42"/>
    </row>
    <row r="252">
      <c r="O252" s="14"/>
      <c r="Q252" s="42"/>
    </row>
    <row r="253">
      <c r="O253" s="14"/>
      <c r="Q253" s="42"/>
    </row>
    <row r="254">
      <c r="O254" s="14"/>
      <c r="Q254" s="42"/>
    </row>
    <row r="255">
      <c r="O255" s="14"/>
      <c r="Q255" s="42"/>
    </row>
    <row r="256">
      <c r="O256" s="14"/>
      <c r="Q256" s="42"/>
    </row>
    <row r="257">
      <c r="O257" s="14"/>
      <c r="Q257" s="42"/>
    </row>
    <row r="258">
      <c r="O258" s="14"/>
      <c r="Q258" s="42"/>
    </row>
    <row r="259">
      <c r="O259" s="14"/>
      <c r="Q259" s="42"/>
    </row>
    <row r="260">
      <c r="O260" s="14"/>
      <c r="Q260" s="42"/>
    </row>
    <row r="261">
      <c r="O261" s="14"/>
      <c r="Q261" s="42"/>
    </row>
    <row r="262">
      <c r="O262" s="14"/>
      <c r="Q262" s="42"/>
    </row>
    <row r="263">
      <c r="O263" s="14"/>
      <c r="Q263" s="42"/>
    </row>
    <row r="264">
      <c r="O264" s="14"/>
      <c r="Q264" s="42"/>
    </row>
    <row r="265">
      <c r="O265" s="14"/>
      <c r="Q265" s="42"/>
    </row>
    <row r="266">
      <c r="O266" s="14"/>
      <c r="Q266" s="42"/>
    </row>
    <row r="267">
      <c r="O267" s="14"/>
      <c r="Q267" s="42"/>
    </row>
    <row r="268">
      <c r="O268" s="14"/>
      <c r="Q268" s="42"/>
    </row>
    <row r="269">
      <c r="O269" s="14"/>
      <c r="Q269" s="42"/>
    </row>
    <row r="270">
      <c r="O270" s="14"/>
      <c r="Q270" s="42"/>
    </row>
    <row r="271">
      <c r="O271" s="14"/>
      <c r="Q271" s="42"/>
    </row>
    <row r="272">
      <c r="O272" s="14"/>
      <c r="Q272" s="42"/>
    </row>
    <row r="273">
      <c r="O273" s="14"/>
      <c r="Q273" s="42"/>
    </row>
    <row r="274">
      <c r="O274" s="14"/>
      <c r="Q274" s="42"/>
    </row>
    <row r="275">
      <c r="O275" s="14"/>
      <c r="Q275" s="42"/>
    </row>
    <row r="276">
      <c r="O276" s="14"/>
      <c r="Q276" s="42"/>
    </row>
    <row r="277">
      <c r="O277" s="14"/>
      <c r="Q277" s="42"/>
    </row>
    <row r="278">
      <c r="O278" s="14"/>
      <c r="Q278" s="42"/>
    </row>
    <row r="279">
      <c r="O279" s="14"/>
      <c r="Q279" s="42"/>
    </row>
    <row r="280">
      <c r="O280" s="14"/>
      <c r="Q280" s="42"/>
    </row>
    <row r="281">
      <c r="O281" s="14"/>
      <c r="Q281" s="42"/>
    </row>
    <row r="282">
      <c r="O282" s="14"/>
      <c r="Q282" s="42"/>
    </row>
    <row r="283">
      <c r="O283" s="14"/>
      <c r="Q283" s="42"/>
    </row>
    <row r="284">
      <c r="O284" s="14"/>
      <c r="Q284" s="42"/>
    </row>
    <row r="285">
      <c r="O285" s="14"/>
      <c r="Q285" s="42"/>
    </row>
    <row r="286">
      <c r="O286" s="14"/>
      <c r="Q286" s="42"/>
    </row>
    <row r="287">
      <c r="O287" s="14"/>
      <c r="Q287" s="42"/>
    </row>
    <row r="288">
      <c r="O288" s="14"/>
      <c r="Q288" s="42"/>
    </row>
    <row r="289">
      <c r="O289" s="14"/>
      <c r="Q289" s="42"/>
    </row>
    <row r="290">
      <c r="O290" s="14"/>
      <c r="Q290" s="42"/>
    </row>
    <row r="291">
      <c r="O291" s="14"/>
      <c r="Q291" s="42"/>
    </row>
    <row r="292">
      <c r="O292" s="14"/>
      <c r="Q292" s="42"/>
    </row>
    <row r="293">
      <c r="O293" s="14"/>
      <c r="Q293" s="42"/>
    </row>
    <row r="294">
      <c r="O294" s="14"/>
      <c r="Q294" s="42"/>
    </row>
    <row r="295">
      <c r="O295" s="14"/>
      <c r="Q295" s="42"/>
    </row>
    <row r="296">
      <c r="O296" s="14"/>
      <c r="Q296" s="42"/>
    </row>
    <row r="297">
      <c r="O297" s="14"/>
      <c r="Q297" s="42"/>
    </row>
    <row r="298">
      <c r="O298" s="14"/>
      <c r="Q298" s="42"/>
    </row>
    <row r="299">
      <c r="O299" s="14"/>
      <c r="Q299" s="42"/>
    </row>
    <row r="300">
      <c r="O300" s="14"/>
      <c r="Q300" s="42"/>
    </row>
    <row r="301">
      <c r="O301" s="14"/>
      <c r="Q301" s="42"/>
    </row>
    <row r="302">
      <c r="O302" s="14"/>
      <c r="Q302" s="42"/>
    </row>
    <row r="303">
      <c r="O303" s="14"/>
      <c r="Q303" s="42"/>
    </row>
    <row r="304">
      <c r="O304" s="14"/>
      <c r="Q304" s="42"/>
    </row>
    <row r="305">
      <c r="O305" s="14"/>
      <c r="Q305" s="42"/>
    </row>
    <row r="306">
      <c r="O306" s="14"/>
      <c r="Q306" s="42"/>
    </row>
    <row r="307">
      <c r="O307" s="14"/>
      <c r="Q307" s="42"/>
    </row>
    <row r="308">
      <c r="O308" s="14"/>
      <c r="Q308" s="42"/>
    </row>
    <row r="309">
      <c r="O309" s="14"/>
      <c r="Q309" s="42"/>
    </row>
    <row r="310">
      <c r="O310" s="14"/>
      <c r="Q310" s="42"/>
    </row>
    <row r="311">
      <c r="O311" s="14"/>
      <c r="Q311" s="42"/>
    </row>
    <row r="312">
      <c r="O312" s="14"/>
      <c r="Q312" s="42"/>
    </row>
    <row r="313">
      <c r="O313" s="14"/>
      <c r="Q313" s="42"/>
    </row>
    <row r="314">
      <c r="O314" s="14"/>
      <c r="Q314" s="42"/>
    </row>
    <row r="315">
      <c r="O315" s="14"/>
      <c r="Q315" s="42"/>
    </row>
    <row r="316">
      <c r="O316" s="14"/>
      <c r="Q316" s="42"/>
    </row>
    <row r="317">
      <c r="O317" s="14"/>
      <c r="Q317" s="42"/>
    </row>
    <row r="318">
      <c r="O318" s="14"/>
      <c r="Q318" s="42"/>
    </row>
    <row r="319">
      <c r="O319" s="14"/>
      <c r="Q319" s="42"/>
    </row>
    <row r="320">
      <c r="O320" s="14"/>
      <c r="Q320" s="42"/>
    </row>
    <row r="321">
      <c r="O321" s="14"/>
      <c r="Q321" s="42"/>
    </row>
    <row r="322">
      <c r="O322" s="14"/>
      <c r="Q322" s="42"/>
    </row>
    <row r="323">
      <c r="O323" s="14"/>
      <c r="Q323" s="42"/>
    </row>
    <row r="324">
      <c r="O324" s="14"/>
      <c r="Q324" s="42"/>
    </row>
    <row r="325">
      <c r="O325" s="14"/>
      <c r="Q325" s="42"/>
    </row>
    <row r="326">
      <c r="O326" s="14"/>
      <c r="Q326" s="42"/>
    </row>
    <row r="327">
      <c r="O327" s="14"/>
      <c r="Q327" s="42"/>
    </row>
    <row r="328">
      <c r="O328" s="14"/>
      <c r="Q328" s="42"/>
    </row>
    <row r="329">
      <c r="O329" s="14"/>
      <c r="Q329" s="42"/>
    </row>
    <row r="330">
      <c r="O330" s="14"/>
      <c r="Q330" s="42"/>
    </row>
    <row r="331">
      <c r="O331" s="14"/>
      <c r="Q331" s="42"/>
    </row>
    <row r="332">
      <c r="O332" s="14"/>
      <c r="Q332" s="42"/>
    </row>
    <row r="333">
      <c r="O333" s="14"/>
      <c r="Q333" s="42"/>
    </row>
    <row r="334">
      <c r="O334" s="14"/>
      <c r="Q334" s="42"/>
    </row>
    <row r="335">
      <c r="O335" s="14"/>
      <c r="Q335" s="42"/>
    </row>
    <row r="336">
      <c r="O336" s="14"/>
      <c r="Q336" s="42"/>
    </row>
    <row r="337">
      <c r="O337" s="14"/>
      <c r="Q337" s="42"/>
    </row>
    <row r="338">
      <c r="O338" s="14"/>
      <c r="Q338" s="42"/>
    </row>
    <row r="339">
      <c r="O339" s="14"/>
      <c r="Q339" s="42"/>
    </row>
    <row r="340">
      <c r="O340" s="14"/>
      <c r="Q340" s="42"/>
    </row>
    <row r="341">
      <c r="O341" s="14"/>
      <c r="Q341" s="42"/>
    </row>
    <row r="342">
      <c r="O342" s="14"/>
      <c r="Q342" s="42"/>
    </row>
    <row r="343">
      <c r="O343" s="14"/>
      <c r="Q343" s="42"/>
    </row>
    <row r="344">
      <c r="O344" s="14"/>
      <c r="Q344" s="42"/>
    </row>
    <row r="345">
      <c r="O345" s="14"/>
      <c r="Q345" s="42"/>
    </row>
    <row r="346">
      <c r="O346" s="14"/>
      <c r="Q346" s="42"/>
    </row>
    <row r="347">
      <c r="O347" s="14"/>
      <c r="Q347" s="42"/>
    </row>
    <row r="348">
      <c r="O348" s="14"/>
      <c r="Q348" s="42"/>
    </row>
    <row r="349">
      <c r="O349" s="14"/>
      <c r="Q349" s="42"/>
    </row>
    <row r="350">
      <c r="O350" s="14"/>
      <c r="Q350" s="42"/>
    </row>
    <row r="351">
      <c r="O351" s="14"/>
      <c r="Q351" s="42"/>
    </row>
    <row r="352">
      <c r="O352" s="14"/>
      <c r="Q352" s="42"/>
    </row>
    <row r="353">
      <c r="O353" s="14"/>
      <c r="Q353" s="42"/>
    </row>
    <row r="354">
      <c r="O354" s="14"/>
      <c r="Q354" s="42"/>
    </row>
    <row r="355">
      <c r="O355" s="14"/>
      <c r="Q355" s="42"/>
    </row>
    <row r="356">
      <c r="O356" s="14"/>
      <c r="Q356" s="42"/>
    </row>
    <row r="357">
      <c r="O357" s="14"/>
      <c r="Q357" s="42"/>
    </row>
    <row r="358">
      <c r="O358" s="14"/>
      <c r="Q358" s="42"/>
    </row>
    <row r="359">
      <c r="O359" s="14"/>
      <c r="Q359" s="42"/>
    </row>
    <row r="360">
      <c r="O360" s="14"/>
      <c r="Q360" s="42"/>
    </row>
    <row r="361">
      <c r="O361" s="14"/>
      <c r="Q361" s="42"/>
    </row>
    <row r="362">
      <c r="O362" s="14"/>
      <c r="Q362" s="42"/>
    </row>
    <row r="363">
      <c r="O363" s="14"/>
      <c r="Q363" s="42"/>
    </row>
    <row r="364">
      <c r="O364" s="14"/>
      <c r="Q364" s="42"/>
    </row>
    <row r="365">
      <c r="O365" s="14"/>
      <c r="Q365" s="42"/>
    </row>
    <row r="366">
      <c r="O366" s="14"/>
      <c r="Q366" s="42"/>
    </row>
    <row r="367">
      <c r="O367" s="14"/>
      <c r="Q367" s="42"/>
    </row>
    <row r="368">
      <c r="O368" s="14"/>
      <c r="Q368" s="42"/>
    </row>
    <row r="369">
      <c r="O369" s="14"/>
      <c r="Q369" s="42"/>
    </row>
    <row r="370">
      <c r="O370" s="14"/>
      <c r="Q370" s="42"/>
    </row>
    <row r="371">
      <c r="O371" s="14"/>
      <c r="Q371" s="42"/>
    </row>
    <row r="372">
      <c r="O372" s="14"/>
      <c r="Q372" s="42"/>
    </row>
    <row r="373">
      <c r="O373" s="14"/>
      <c r="Q373" s="42"/>
    </row>
    <row r="374">
      <c r="O374" s="14"/>
      <c r="Q374" s="42"/>
    </row>
    <row r="375">
      <c r="O375" s="14"/>
      <c r="Q375" s="42"/>
    </row>
    <row r="376">
      <c r="O376" s="14"/>
      <c r="Q376" s="42"/>
    </row>
    <row r="377">
      <c r="O377" s="14"/>
      <c r="Q377" s="42"/>
    </row>
    <row r="378">
      <c r="O378" s="14"/>
      <c r="Q378" s="42"/>
    </row>
    <row r="379">
      <c r="O379" s="14"/>
      <c r="Q379" s="42"/>
    </row>
    <row r="380">
      <c r="O380" s="14"/>
      <c r="Q380" s="42"/>
    </row>
    <row r="381">
      <c r="O381" s="14"/>
      <c r="Q381" s="42"/>
    </row>
    <row r="382">
      <c r="O382" s="14"/>
      <c r="Q382" s="42"/>
    </row>
    <row r="383">
      <c r="O383" s="14"/>
      <c r="Q383" s="42"/>
    </row>
    <row r="384">
      <c r="O384" s="14"/>
      <c r="Q384" s="42"/>
    </row>
    <row r="385">
      <c r="O385" s="14"/>
      <c r="Q385" s="42"/>
    </row>
    <row r="386">
      <c r="O386" s="14"/>
      <c r="Q386" s="42"/>
    </row>
    <row r="387">
      <c r="O387" s="14"/>
      <c r="Q387" s="42"/>
    </row>
    <row r="388">
      <c r="O388" s="14"/>
      <c r="Q388" s="42"/>
    </row>
    <row r="389">
      <c r="O389" s="14"/>
      <c r="Q389" s="42"/>
    </row>
    <row r="390">
      <c r="O390" s="14"/>
      <c r="Q390" s="42"/>
    </row>
    <row r="391">
      <c r="O391" s="14"/>
      <c r="Q391" s="42"/>
    </row>
    <row r="392">
      <c r="O392" s="14"/>
      <c r="Q392" s="42"/>
    </row>
    <row r="393">
      <c r="O393" s="14"/>
      <c r="Q393" s="42"/>
    </row>
    <row r="394">
      <c r="O394" s="14"/>
      <c r="Q394" s="42"/>
    </row>
    <row r="395">
      <c r="O395" s="14"/>
      <c r="Q395" s="42"/>
    </row>
    <row r="396">
      <c r="O396" s="14"/>
      <c r="Q396" s="42"/>
    </row>
    <row r="397">
      <c r="O397" s="14"/>
      <c r="Q397" s="42"/>
    </row>
    <row r="398">
      <c r="O398" s="14"/>
      <c r="Q398" s="42"/>
    </row>
    <row r="399">
      <c r="O399" s="14"/>
      <c r="Q399" s="42"/>
    </row>
    <row r="400">
      <c r="O400" s="14"/>
      <c r="Q400" s="42"/>
    </row>
    <row r="401">
      <c r="O401" s="14"/>
      <c r="Q401" s="42"/>
    </row>
    <row r="402">
      <c r="O402" s="14"/>
      <c r="Q402" s="42"/>
    </row>
    <row r="403">
      <c r="O403" s="14"/>
      <c r="Q403" s="42"/>
    </row>
    <row r="404">
      <c r="O404" s="14"/>
      <c r="Q404" s="42"/>
    </row>
    <row r="405">
      <c r="O405" s="14"/>
      <c r="Q405" s="42"/>
    </row>
    <row r="406">
      <c r="O406" s="14"/>
      <c r="Q406" s="42"/>
    </row>
    <row r="407">
      <c r="O407" s="14"/>
      <c r="Q407" s="42"/>
    </row>
    <row r="408">
      <c r="O408" s="14"/>
      <c r="Q408" s="42"/>
    </row>
    <row r="409">
      <c r="O409" s="14"/>
      <c r="Q409" s="42"/>
    </row>
    <row r="410">
      <c r="O410" s="14"/>
      <c r="Q410" s="42"/>
    </row>
    <row r="411">
      <c r="O411" s="14"/>
      <c r="Q411" s="42"/>
    </row>
    <row r="412">
      <c r="O412" s="14"/>
      <c r="Q412" s="42"/>
    </row>
    <row r="413">
      <c r="O413" s="14"/>
      <c r="Q413" s="42"/>
    </row>
    <row r="414">
      <c r="O414" s="14"/>
      <c r="Q414" s="42"/>
    </row>
    <row r="415">
      <c r="O415" s="14"/>
      <c r="Q415" s="42"/>
    </row>
    <row r="416">
      <c r="O416" s="14"/>
      <c r="Q416" s="42"/>
    </row>
    <row r="417">
      <c r="O417" s="14"/>
      <c r="Q417" s="42"/>
    </row>
    <row r="418">
      <c r="O418" s="14"/>
      <c r="Q418" s="42"/>
    </row>
    <row r="419">
      <c r="O419" s="14"/>
      <c r="Q419" s="42"/>
    </row>
    <row r="420">
      <c r="O420" s="14"/>
      <c r="Q420" s="42"/>
    </row>
    <row r="421">
      <c r="O421" s="14"/>
      <c r="Q421" s="42"/>
    </row>
    <row r="422">
      <c r="O422" s="14"/>
      <c r="Q422" s="42"/>
    </row>
    <row r="423">
      <c r="O423" s="14"/>
      <c r="Q423" s="42"/>
    </row>
    <row r="424">
      <c r="O424" s="14"/>
      <c r="Q424" s="42"/>
    </row>
    <row r="425">
      <c r="O425" s="14"/>
      <c r="Q425" s="42"/>
    </row>
    <row r="426">
      <c r="O426" s="14"/>
      <c r="Q426" s="42"/>
    </row>
    <row r="427">
      <c r="O427" s="14"/>
      <c r="Q427" s="42"/>
    </row>
    <row r="428">
      <c r="O428" s="14"/>
      <c r="Q428" s="42"/>
    </row>
    <row r="429">
      <c r="O429" s="14"/>
      <c r="Q429" s="42"/>
    </row>
    <row r="430">
      <c r="O430" s="14"/>
      <c r="Q430" s="42"/>
    </row>
    <row r="431">
      <c r="O431" s="14"/>
      <c r="Q431" s="42"/>
    </row>
    <row r="432">
      <c r="O432" s="14"/>
      <c r="Q432" s="42"/>
    </row>
    <row r="433">
      <c r="O433" s="14"/>
      <c r="Q433" s="42"/>
    </row>
    <row r="434">
      <c r="O434" s="14"/>
      <c r="Q434" s="42"/>
    </row>
    <row r="435">
      <c r="O435" s="14"/>
      <c r="Q435" s="42"/>
    </row>
    <row r="436">
      <c r="O436" s="14"/>
      <c r="Q436" s="42"/>
    </row>
    <row r="437">
      <c r="O437" s="14"/>
      <c r="Q437" s="42"/>
    </row>
    <row r="438">
      <c r="O438" s="14"/>
      <c r="Q438" s="42"/>
    </row>
    <row r="439">
      <c r="O439" s="14"/>
      <c r="Q439" s="42"/>
    </row>
    <row r="440">
      <c r="O440" s="14"/>
      <c r="Q440" s="42"/>
    </row>
    <row r="441">
      <c r="O441" s="14"/>
      <c r="Q441" s="42"/>
    </row>
    <row r="442">
      <c r="O442" s="14"/>
      <c r="Q442" s="42"/>
    </row>
    <row r="443">
      <c r="O443" s="14"/>
      <c r="Q443" s="42"/>
    </row>
    <row r="444">
      <c r="O444" s="14"/>
      <c r="Q444" s="42"/>
    </row>
    <row r="445">
      <c r="O445" s="14"/>
      <c r="Q445" s="42"/>
    </row>
    <row r="446">
      <c r="O446" s="14"/>
      <c r="Q446" s="42"/>
    </row>
    <row r="447">
      <c r="O447" s="14"/>
      <c r="Q447" s="42"/>
    </row>
    <row r="448">
      <c r="O448" s="14"/>
      <c r="Q448" s="42"/>
    </row>
    <row r="449">
      <c r="O449" s="14"/>
      <c r="Q449" s="42"/>
    </row>
    <row r="450">
      <c r="O450" s="14"/>
      <c r="Q450" s="42"/>
    </row>
    <row r="451">
      <c r="O451" s="14"/>
      <c r="Q451" s="42"/>
    </row>
    <row r="452">
      <c r="O452" s="14"/>
      <c r="Q452" s="42"/>
    </row>
    <row r="453">
      <c r="O453" s="14"/>
      <c r="Q453" s="42"/>
    </row>
    <row r="454">
      <c r="O454" s="14"/>
      <c r="Q454" s="42"/>
    </row>
    <row r="455">
      <c r="O455" s="14"/>
      <c r="Q455" s="42"/>
    </row>
    <row r="456">
      <c r="O456" s="14"/>
      <c r="Q456" s="42"/>
    </row>
    <row r="457">
      <c r="O457" s="14"/>
      <c r="Q457" s="42"/>
    </row>
    <row r="458">
      <c r="O458" s="14"/>
      <c r="Q458" s="42"/>
    </row>
    <row r="459">
      <c r="O459" s="14"/>
      <c r="Q459" s="42"/>
    </row>
    <row r="460">
      <c r="O460" s="14"/>
      <c r="Q460" s="42"/>
    </row>
    <row r="461">
      <c r="O461" s="14"/>
      <c r="Q461" s="42"/>
    </row>
    <row r="462">
      <c r="O462" s="14"/>
      <c r="Q462" s="42"/>
    </row>
    <row r="463">
      <c r="O463" s="14"/>
      <c r="Q463" s="42"/>
    </row>
    <row r="464">
      <c r="O464" s="14"/>
      <c r="Q464" s="42"/>
    </row>
    <row r="465">
      <c r="O465" s="14"/>
      <c r="Q465" s="42"/>
    </row>
    <row r="466">
      <c r="O466" s="14"/>
      <c r="Q466" s="42"/>
    </row>
    <row r="467">
      <c r="O467" s="14"/>
      <c r="Q467" s="42"/>
    </row>
    <row r="468">
      <c r="O468" s="14"/>
      <c r="Q468" s="42"/>
    </row>
    <row r="469">
      <c r="O469" s="14"/>
      <c r="Q469" s="42"/>
    </row>
    <row r="470">
      <c r="O470" s="14"/>
      <c r="Q470" s="42"/>
    </row>
    <row r="471">
      <c r="O471" s="14"/>
      <c r="Q471" s="42"/>
    </row>
    <row r="472">
      <c r="O472" s="14"/>
      <c r="Q472" s="42"/>
    </row>
    <row r="473">
      <c r="O473" s="14"/>
      <c r="Q473" s="42"/>
    </row>
    <row r="474">
      <c r="O474" s="14"/>
      <c r="Q474" s="42"/>
    </row>
    <row r="475">
      <c r="O475" s="14"/>
      <c r="Q475" s="42"/>
    </row>
    <row r="476">
      <c r="O476" s="14"/>
      <c r="Q476" s="42"/>
    </row>
    <row r="477">
      <c r="O477" s="14"/>
      <c r="Q477" s="42"/>
    </row>
    <row r="478">
      <c r="O478" s="14"/>
      <c r="Q478" s="42"/>
    </row>
    <row r="479">
      <c r="O479" s="14"/>
      <c r="Q479" s="42"/>
    </row>
    <row r="480">
      <c r="O480" s="14"/>
      <c r="Q480" s="42"/>
    </row>
    <row r="481">
      <c r="O481" s="14"/>
      <c r="Q481" s="42"/>
    </row>
    <row r="482">
      <c r="O482" s="14"/>
      <c r="Q482" s="42"/>
    </row>
    <row r="483">
      <c r="O483" s="14"/>
      <c r="Q483" s="42"/>
    </row>
    <row r="484">
      <c r="O484" s="14"/>
      <c r="Q484" s="42"/>
    </row>
    <row r="485">
      <c r="O485" s="14"/>
      <c r="Q485" s="42"/>
    </row>
    <row r="486">
      <c r="O486" s="14"/>
      <c r="Q486" s="42"/>
    </row>
    <row r="487">
      <c r="O487" s="14"/>
      <c r="Q487" s="42"/>
    </row>
    <row r="488">
      <c r="O488" s="14"/>
      <c r="Q488" s="42"/>
    </row>
    <row r="489">
      <c r="O489" s="14"/>
      <c r="Q489" s="42"/>
    </row>
    <row r="490">
      <c r="O490" s="14"/>
      <c r="Q490" s="42"/>
    </row>
    <row r="491">
      <c r="O491" s="14"/>
      <c r="Q491" s="42"/>
    </row>
    <row r="492">
      <c r="O492" s="14"/>
      <c r="Q492" s="42"/>
    </row>
    <row r="493">
      <c r="O493" s="14"/>
      <c r="Q493" s="42"/>
    </row>
    <row r="494">
      <c r="O494" s="14"/>
      <c r="Q494" s="42"/>
    </row>
    <row r="495">
      <c r="O495" s="14"/>
      <c r="Q495" s="42"/>
    </row>
    <row r="496">
      <c r="O496" s="14"/>
      <c r="Q496" s="42"/>
    </row>
    <row r="497">
      <c r="O497" s="14"/>
      <c r="Q497" s="42"/>
    </row>
    <row r="498">
      <c r="O498" s="14"/>
      <c r="Q498" s="42"/>
    </row>
    <row r="499">
      <c r="O499" s="14"/>
      <c r="Q499" s="42"/>
    </row>
    <row r="500">
      <c r="O500" s="14"/>
      <c r="Q500" s="42"/>
    </row>
    <row r="501">
      <c r="O501" s="14"/>
      <c r="Q501" s="42"/>
    </row>
    <row r="502">
      <c r="O502" s="14"/>
      <c r="Q502" s="42"/>
    </row>
    <row r="503">
      <c r="O503" s="14"/>
      <c r="Q503" s="42"/>
    </row>
    <row r="504">
      <c r="O504" s="14"/>
      <c r="Q504" s="42"/>
    </row>
    <row r="505">
      <c r="O505" s="14"/>
      <c r="Q505" s="42"/>
    </row>
    <row r="506">
      <c r="O506" s="14"/>
      <c r="Q506" s="42"/>
    </row>
    <row r="507">
      <c r="O507" s="14"/>
      <c r="Q507" s="42"/>
    </row>
    <row r="508">
      <c r="O508" s="14"/>
      <c r="Q508" s="42"/>
    </row>
    <row r="509">
      <c r="O509" s="14"/>
      <c r="Q509" s="42"/>
    </row>
    <row r="510">
      <c r="O510" s="14"/>
      <c r="Q510" s="42"/>
    </row>
    <row r="511">
      <c r="O511" s="14"/>
      <c r="Q511" s="42"/>
    </row>
    <row r="512">
      <c r="O512" s="14"/>
      <c r="Q512" s="42"/>
    </row>
    <row r="513">
      <c r="O513" s="14"/>
      <c r="Q513" s="42"/>
    </row>
    <row r="514">
      <c r="O514" s="14"/>
      <c r="Q514" s="42"/>
    </row>
    <row r="515">
      <c r="O515" s="14"/>
      <c r="Q515" s="42"/>
    </row>
    <row r="516">
      <c r="O516" s="14"/>
      <c r="Q516" s="42"/>
    </row>
    <row r="517">
      <c r="O517" s="14"/>
      <c r="Q517" s="42"/>
    </row>
    <row r="518">
      <c r="O518" s="14"/>
      <c r="Q518" s="42"/>
    </row>
    <row r="519">
      <c r="O519" s="14"/>
      <c r="Q519" s="42"/>
    </row>
    <row r="520">
      <c r="O520" s="14"/>
      <c r="Q520" s="42"/>
    </row>
    <row r="521">
      <c r="O521" s="14"/>
      <c r="Q521" s="42"/>
    </row>
    <row r="522">
      <c r="O522" s="14"/>
      <c r="Q522" s="42"/>
    </row>
    <row r="523">
      <c r="O523" s="14"/>
      <c r="Q523" s="42"/>
    </row>
    <row r="524">
      <c r="O524" s="14"/>
      <c r="Q524" s="42"/>
    </row>
    <row r="525">
      <c r="O525" s="14"/>
      <c r="Q525" s="42"/>
    </row>
    <row r="526">
      <c r="O526" s="14"/>
      <c r="Q526" s="42"/>
    </row>
    <row r="527">
      <c r="O527" s="14"/>
      <c r="Q527" s="42"/>
    </row>
    <row r="528">
      <c r="O528" s="14"/>
      <c r="Q528" s="42"/>
    </row>
    <row r="529">
      <c r="O529" s="14"/>
      <c r="Q529" s="42"/>
    </row>
    <row r="530">
      <c r="O530" s="14"/>
      <c r="Q530" s="42"/>
    </row>
    <row r="531">
      <c r="O531" s="14"/>
      <c r="Q531" s="42"/>
    </row>
    <row r="532">
      <c r="O532" s="14"/>
      <c r="Q532" s="42"/>
    </row>
    <row r="533">
      <c r="O533" s="14"/>
      <c r="Q533" s="42"/>
    </row>
    <row r="534">
      <c r="O534" s="14"/>
      <c r="Q534" s="42"/>
    </row>
    <row r="535">
      <c r="O535" s="14"/>
      <c r="Q535" s="42"/>
    </row>
    <row r="536">
      <c r="O536" s="14"/>
      <c r="Q536" s="42"/>
    </row>
    <row r="537">
      <c r="O537" s="14"/>
      <c r="Q537" s="42"/>
    </row>
    <row r="538">
      <c r="O538" s="14"/>
      <c r="Q538" s="42"/>
    </row>
    <row r="539">
      <c r="O539" s="14"/>
      <c r="Q539" s="42"/>
    </row>
    <row r="540">
      <c r="O540" s="14"/>
      <c r="Q540" s="42"/>
    </row>
    <row r="541">
      <c r="O541" s="14"/>
      <c r="Q541" s="42"/>
    </row>
    <row r="542">
      <c r="O542" s="14"/>
      <c r="Q542" s="42"/>
    </row>
    <row r="543">
      <c r="O543" s="14"/>
      <c r="Q543" s="42"/>
    </row>
    <row r="544">
      <c r="O544" s="14"/>
      <c r="Q544" s="42"/>
    </row>
    <row r="545">
      <c r="O545" s="14"/>
      <c r="Q545" s="42"/>
    </row>
    <row r="546">
      <c r="O546" s="14"/>
      <c r="Q546" s="42"/>
    </row>
    <row r="547">
      <c r="O547" s="14"/>
      <c r="Q547" s="42"/>
    </row>
    <row r="548">
      <c r="O548" s="14"/>
      <c r="Q548" s="42"/>
    </row>
    <row r="549">
      <c r="O549" s="14"/>
      <c r="Q549" s="42"/>
    </row>
    <row r="550">
      <c r="O550" s="14"/>
      <c r="Q550" s="42"/>
    </row>
    <row r="551">
      <c r="O551" s="14"/>
      <c r="Q551" s="42"/>
    </row>
    <row r="552">
      <c r="O552" s="14"/>
      <c r="Q552" s="42"/>
    </row>
    <row r="553">
      <c r="O553" s="14"/>
      <c r="Q553" s="42"/>
    </row>
    <row r="554">
      <c r="O554" s="14"/>
      <c r="Q554" s="42"/>
    </row>
    <row r="555">
      <c r="O555" s="14"/>
      <c r="Q555" s="42"/>
    </row>
    <row r="556">
      <c r="O556" s="14"/>
      <c r="Q556" s="42"/>
    </row>
    <row r="557">
      <c r="O557" s="14"/>
      <c r="Q557" s="42"/>
    </row>
    <row r="558">
      <c r="O558" s="14"/>
      <c r="Q558" s="42"/>
    </row>
    <row r="559">
      <c r="O559" s="14"/>
      <c r="Q559" s="42"/>
    </row>
    <row r="560">
      <c r="O560" s="14"/>
      <c r="Q560" s="42"/>
    </row>
    <row r="561">
      <c r="O561" s="14"/>
      <c r="Q561" s="42"/>
    </row>
    <row r="562">
      <c r="O562" s="14"/>
      <c r="Q562" s="42"/>
    </row>
    <row r="563">
      <c r="O563" s="14"/>
      <c r="Q563" s="42"/>
    </row>
    <row r="564">
      <c r="O564" s="14"/>
      <c r="Q564" s="42"/>
    </row>
    <row r="565">
      <c r="O565" s="14"/>
      <c r="Q565" s="42"/>
    </row>
    <row r="566">
      <c r="O566" s="14"/>
      <c r="Q566" s="42"/>
    </row>
    <row r="567">
      <c r="O567" s="14"/>
      <c r="Q567" s="42"/>
    </row>
    <row r="568">
      <c r="O568" s="14"/>
      <c r="Q568" s="42"/>
    </row>
    <row r="569">
      <c r="O569" s="14"/>
      <c r="Q569" s="42"/>
    </row>
    <row r="570">
      <c r="O570" s="14"/>
      <c r="Q570" s="42"/>
    </row>
    <row r="571">
      <c r="O571" s="14"/>
      <c r="Q571" s="42"/>
    </row>
    <row r="572">
      <c r="O572" s="14"/>
      <c r="Q572" s="42"/>
    </row>
    <row r="573">
      <c r="O573" s="14"/>
      <c r="Q573" s="42"/>
    </row>
    <row r="574">
      <c r="O574" s="14"/>
      <c r="Q574" s="42"/>
    </row>
    <row r="575">
      <c r="O575" s="14"/>
      <c r="Q575" s="42"/>
    </row>
    <row r="576">
      <c r="O576" s="14"/>
      <c r="Q576" s="42"/>
    </row>
    <row r="577">
      <c r="O577" s="14"/>
      <c r="Q577" s="42"/>
    </row>
    <row r="578">
      <c r="O578" s="14"/>
      <c r="Q578" s="42"/>
    </row>
    <row r="579">
      <c r="O579" s="14"/>
      <c r="Q579" s="42"/>
    </row>
    <row r="580">
      <c r="O580" s="14"/>
      <c r="Q580" s="42"/>
    </row>
    <row r="581">
      <c r="O581" s="14"/>
      <c r="Q581" s="42"/>
    </row>
    <row r="582">
      <c r="O582" s="14"/>
      <c r="Q582" s="42"/>
    </row>
    <row r="583">
      <c r="O583" s="14"/>
      <c r="Q583" s="42"/>
    </row>
    <row r="584">
      <c r="O584" s="14"/>
      <c r="Q584" s="42"/>
    </row>
    <row r="585">
      <c r="O585" s="14"/>
      <c r="Q585" s="42"/>
    </row>
    <row r="586">
      <c r="O586" s="14"/>
      <c r="Q586" s="42"/>
    </row>
    <row r="587">
      <c r="O587" s="14"/>
      <c r="Q587" s="42"/>
    </row>
    <row r="588">
      <c r="O588" s="14"/>
      <c r="Q588" s="42"/>
    </row>
    <row r="589">
      <c r="O589" s="14"/>
      <c r="Q589" s="42"/>
    </row>
    <row r="590">
      <c r="O590" s="14"/>
      <c r="Q590" s="42"/>
    </row>
    <row r="591">
      <c r="O591" s="14"/>
      <c r="Q591" s="42"/>
    </row>
    <row r="592">
      <c r="O592" s="14"/>
      <c r="Q592" s="42"/>
    </row>
    <row r="593">
      <c r="O593" s="14"/>
      <c r="Q593" s="42"/>
    </row>
    <row r="594">
      <c r="O594" s="14"/>
      <c r="Q594" s="42"/>
    </row>
    <row r="595">
      <c r="O595" s="14"/>
      <c r="Q595" s="42"/>
    </row>
    <row r="596">
      <c r="O596" s="14"/>
      <c r="Q596" s="42"/>
    </row>
    <row r="597">
      <c r="O597" s="14"/>
      <c r="Q597" s="42"/>
    </row>
    <row r="598">
      <c r="O598" s="14"/>
      <c r="Q598" s="42"/>
    </row>
    <row r="599">
      <c r="O599" s="14"/>
      <c r="Q599" s="42"/>
    </row>
    <row r="600">
      <c r="O600" s="14"/>
      <c r="Q600" s="42"/>
    </row>
    <row r="601">
      <c r="O601" s="14"/>
      <c r="Q601" s="42"/>
    </row>
    <row r="602">
      <c r="O602" s="14"/>
      <c r="Q602" s="42"/>
    </row>
    <row r="603">
      <c r="O603" s="14"/>
      <c r="Q603" s="42"/>
    </row>
    <row r="604">
      <c r="O604" s="14"/>
      <c r="Q604" s="42"/>
    </row>
    <row r="605">
      <c r="O605" s="14"/>
      <c r="Q605" s="42"/>
    </row>
    <row r="606">
      <c r="O606" s="14"/>
      <c r="Q606" s="42"/>
    </row>
    <row r="607">
      <c r="O607" s="14"/>
      <c r="Q607" s="42"/>
    </row>
    <row r="608">
      <c r="O608" s="14"/>
      <c r="Q608" s="42"/>
    </row>
    <row r="609">
      <c r="O609" s="14"/>
      <c r="Q609" s="42"/>
    </row>
    <row r="610">
      <c r="O610" s="14"/>
      <c r="Q610" s="42"/>
    </row>
    <row r="611">
      <c r="O611" s="14"/>
      <c r="Q611" s="42"/>
    </row>
    <row r="612">
      <c r="O612" s="14"/>
      <c r="Q612" s="42"/>
    </row>
    <row r="613">
      <c r="O613" s="14"/>
      <c r="Q613" s="42"/>
    </row>
    <row r="614">
      <c r="O614" s="14"/>
      <c r="Q614" s="42"/>
    </row>
    <row r="615">
      <c r="O615" s="14"/>
      <c r="Q615" s="42"/>
    </row>
    <row r="616">
      <c r="O616" s="14"/>
      <c r="Q616" s="42"/>
    </row>
    <row r="617">
      <c r="O617" s="14"/>
      <c r="Q617" s="42"/>
    </row>
    <row r="618">
      <c r="O618" s="14"/>
      <c r="Q618" s="42"/>
    </row>
    <row r="619">
      <c r="O619" s="14"/>
      <c r="Q619" s="42"/>
    </row>
    <row r="620">
      <c r="O620" s="14"/>
      <c r="Q620" s="42"/>
    </row>
    <row r="621">
      <c r="O621" s="14"/>
      <c r="Q621" s="42"/>
    </row>
    <row r="622">
      <c r="O622" s="14"/>
      <c r="Q622" s="42"/>
    </row>
    <row r="623">
      <c r="O623" s="14"/>
      <c r="Q623" s="42"/>
    </row>
    <row r="624">
      <c r="O624" s="14"/>
      <c r="Q624" s="42"/>
    </row>
    <row r="625">
      <c r="O625" s="14"/>
      <c r="Q625" s="42"/>
    </row>
    <row r="626">
      <c r="O626" s="14"/>
      <c r="Q626" s="42"/>
    </row>
    <row r="627">
      <c r="O627" s="14"/>
      <c r="Q627" s="42"/>
    </row>
    <row r="628">
      <c r="O628" s="14"/>
      <c r="Q628" s="42"/>
    </row>
    <row r="629">
      <c r="O629" s="14"/>
      <c r="Q629" s="42"/>
    </row>
    <row r="630">
      <c r="O630" s="14"/>
      <c r="Q630" s="42"/>
    </row>
    <row r="631">
      <c r="O631" s="14"/>
      <c r="Q631" s="42"/>
    </row>
    <row r="632">
      <c r="O632" s="14"/>
      <c r="Q632" s="42"/>
    </row>
    <row r="633">
      <c r="O633" s="14"/>
      <c r="Q633" s="42"/>
    </row>
    <row r="634">
      <c r="O634" s="14"/>
      <c r="Q634" s="42"/>
    </row>
    <row r="635">
      <c r="O635" s="14"/>
      <c r="Q635" s="42"/>
    </row>
    <row r="636">
      <c r="O636" s="14"/>
      <c r="Q636" s="42"/>
    </row>
    <row r="637">
      <c r="O637" s="14"/>
      <c r="Q637" s="42"/>
    </row>
    <row r="638">
      <c r="O638" s="14"/>
      <c r="Q638" s="42"/>
    </row>
    <row r="639">
      <c r="O639" s="14"/>
      <c r="Q639" s="42"/>
    </row>
    <row r="640">
      <c r="O640" s="14"/>
      <c r="Q640" s="42"/>
    </row>
    <row r="641">
      <c r="O641" s="14"/>
      <c r="Q641" s="42"/>
    </row>
    <row r="642">
      <c r="O642" s="14"/>
      <c r="Q642" s="42"/>
    </row>
    <row r="643">
      <c r="O643" s="14"/>
      <c r="Q643" s="42"/>
    </row>
    <row r="644">
      <c r="O644" s="14"/>
      <c r="Q644" s="42"/>
    </row>
    <row r="645">
      <c r="O645" s="14"/>
      <c r="Q645" s="42"/>
    </row>
    <row r="646">
      <c r="O646" s="14"/>
      <c r="Q646" s="42"/>
    </row>
    <row r="647">
      <c r="O647" s="14"/>
      <c r="Q647" s="42"/>
    </row>
    <row r="648">
      <c r="O648" s="14"/>
      <c r="Q648" s="42"/>
    </row>
    <row r="649">
      <c r="O649" s="14"/>
      <c r="Q649" s="42"/>
    </row>
    <row r="650">
      <c r="O650" s="14"/>
      <c r="Q650" s="42"/>
    </row>
    <row r="651">
      <c r="O651" s="14"/>
      <c r="Q651" s="42"/>
    </row>
    <row r="652">
      <c r="O652" s="14"/>
      <c r="Q652" s="42"/>
    </row>
    <row r="653">
      <c r="O653" s="14"/>
      <c r="Q653" s="42"/>
    </row>
    <row r="654">
      <c r="O654" s="14"/>
      <c r="Q654" s="42"/>
    </row>
    <row r="655">
      <c r="O655" s="14"/>
      <c r="Q655" s="42"/>
    </row>
    <row r="656">
      <c r="O656" s="14"/>
      <c r="Q656" s="42"/>
    </row>
    <row r="657">
      <c r="O657" s="14"/>
      <c r="Q657" s="42"/>
    </row>
    <row r="658">
      <c r="O658" s="14"/>
      <c r="Q658" s="42"/>
    </row>
    <row r="659">
      <c r="O659" s="14"/>
      <c r="Q659" s="42"/>
    </row>
    <row r="660">
      <c r="O660" s="14"/>
      <c r="Q660" s="42"/>
    </row>
    <row r="661">
      <c r="O661" s="14"/>
      <c r="Q661" s="42"/>
    </row>
    <row r="662">
      <c r="O662" s="14"/>
      <c r="Q662" s="42"/>
    </row>
    <row r="663">
      <c r="O663" s="14"/>
      <c r="Q663" s="42"/>
    </row>
    <row r="664">
      <c r="O664" s="14"/>
      <c r="Q664" s="42"/>
    </row>
    <row r="665">
      <c r="O665" s="14"/>
      <c r="Q665" s="42"/>
    </row>
    <row r="666">
      <c r="O666" s="14"/>
      <c r="Q666" s="42"/>
    </row>
    <row r="667">
      <c r="O667" s="14"/>
      <c r="Q667" s="42"/>
    </row>
    <row r="668">
      <c r="O668" s="14"/>
      <c r="Q668" s="42"/>
    </row>
    <row r="669">
      <c r="O669" s="14"/>
      <c r="Q669" s="42"/>
    </row>
    <row r="670">
      <c r="O670" s="14"/>
      <c r="Q670" s="42"/>
    </row>
    <row r="671">
      <c r="O671" s="14"/>
      <c r="Q671" s="42"/>
    </row>
    <row r="672">
      <c r="O672" s="14"/>
      <c r="Q672" s="42"/>
    </row>
    <row r="673">
      <c r="O673" s="14"/>
      <c r="Q673" s="42"/>
    </row>
    <row r="674">
      <c r="O674" s="14"/>
      <c r="Q674" s="42"/>
    </row>
    <row r="675">
      <c r="O675" s="14"/>
      <c r="Q675" s="42"/>
    </row>
    <row r="676">
      <c r="O676" s="14"/>
      <c r="Q676" s="42"/>
    </row>
    <row r="677">
      <c r="O677" s="14"/>
      <c r="Q677" s="42"/>
    </row>
    <row r="678">
      <c r="O678" s="14"/>
      <c r="Q678" s="42"/>
    </row>
    <row r="679">
      <c r="O679" s="14"/>
      <c r="Q679" s="42"/>
    </row>
    <row r="680">
      <c r="O680" s="14"/>
      <c r="Q680" s="42"/>
    </row>
    <row r="681">
      <c r="O681" s="14"/>
      <c r="Q681" s="42"/>
    </row>
    <row r="682">
      <c r="O682" s="14"/>
      <c r="Q682" s="42"/>
    </row>
    <row r="683">
      <c r="O683" s="14"/>
      <c r="Q683" s="42"/>
    </row>
    <row r="684">
      <c r="O684" s="14"/>
      <c r="Q684" s="42"/>
    </row>
    <row r="685">
      <c r="O685" s="14"/>
      <c r="Q685" s="42"/>
    </row>
    <row r="686">
      <c r="O686" s="14"/>
      <c r="Q686" s="42"/>
    </row>
    <row r="687">
      <c r="O687" s="14"/>
      <c r="Q687" s="42"/>
    </row>
    <row r="688">
      <c r="O688" s="14"/>
      <c r="Q688" s="42"/>
    </row>
    <row r="689">
      <c r="O689" s="14"/>
      <c r="Q689" s="42"/>
    </row>
    <row r="690">
      <c r="O690" s="14"/>
      <c r="Q690" s="42"/>
    </row>
    <row r="691">
      <c r="O691" s="14"/>
      <c r="Q691" s="42"/>
    </row>
    <row r="692">
      <c r="O692" s="14"/>
      <c r="Q692" s="42"/>
    </row>
    <row r="693">
      <c r="O693" s="14"/>
      <c r="Q693" s="42"/>
    </row>
    <row r="694">
      <c r="O694" s="14"/>
      <c r="Q694" s="42"/>
    </row>
    <row r="695">
      <c r="O695" s="14"/>
      <c r="Q695" s="42"/>
    </row>
    <row r="696">
      <c r="O696" s="14"/>
      <c r="Q696" s="42"/>
    </row>
    <row r="697">
      <c r="O697" s="14"/>
      <c r="Q697" s="42"/>
    </row>
    <row r="698">
      <c r="O698" s="14"/>
      <c r="Q698" s="42"/>
    </row>
    <row r="699">
      <c r="O699" s="14"/>
      <c r="Q699" s="42"/>
    </row>
    <row r="700">
      <c r="O700" s="14"/>
      <c r="Q700" s="42"/>
    </row>
    <row r="701">
      <c r="O701" s="14"/>
      <c r="Q701" s="42"/>
    </row>
    <row r="702">
      <c r="O702" s="14"/>
      <c r="Q702" s="42"/>
    </row>
    <row r="703">
      <c r="O703" s="14"/>
      <c r="Q703" s="42"/>
    </row>
    <row r="704">
      <c r="O704" s="14"/>
      <c r="Q704" s="42"/>
    </row>
    <row r="705">
      <c r="O705" s="14"/>
      <c r="Q705" s="42"/>
    </row>
    <row r="706">
      <c r="O706" s="14"/>
      <c r="Q706" s="42"/>
    </row>
    <row r="707">
      <c r="O707" s="14"/>
      <c r="Q707" s="42"/>
    </row>
    <row r="708">
      <c r="O708" s="14"/>
      <c r="Q708" s="42"/>
    </row>
    <row r="709">
      <c r="O709" s="14"/>
      <c r="Q709" s="42"/>
    </row>
    <row r="710">
      <c r="O710" s="14"/>
      <c r="Q710" s="42"/>
    </row>
    <row r="711">
      <c r="O711" s="14"/>
      <c r="Q711" s="42"/>
    </row>
    <row r="712">
      <c r="O712" s="14"/>
      <c r="Q712" s="42"/>
    </row>
    <row r="713">
      <c r="O713" s="14"/>
      <c r="Q713" s="42"/>
    </row>
    <row r="714">
      <c r="O714" s="14"/>
      <c r="Q714" s="42"/>
    </row>
    <row r="715">
      <c r="O715" s="14"/>
      <c r="Q715" s="42"/>
    </row>
    <row r="716">
      <c r="O716" s="14"/>
      <c r="Q716" s="42"/>
    </row>
    <row r="717">
      <c r="O717" s="14"/>
      <c r="Q717" s="42"/>
    </row>
    <row r="718">
      <c r="O718" s="14"/>
      <c r="Q718" s="42"/>
    </row>
    <row r="719">
      <c r="O719" s="14"/>
      <c r="Q719" s="42"/>
    </row>
    <row r="720">
      <c r="O720" s="14"/>
      <c r="Q720" s="42"/>
    </row>
    <row r="721">
      <c r="O721" s="14"/>
      <c r="Q721" s="42"/>
    </row>
    <row r="722">
      <c r="O722" s="14"/>
      <c r="Q722" s="42"/>
    </row>
    <row r="723">
      <c r="O723" s="14"/>
      <c r="Q723" s="42"/>
    </row>
    <row r="724">
      <c r="O724" s="14"/>
      <c r="Q724" s="42"/>
    </row>
    <row r="725">
      <c r="O725" s="14"/>
      <c r="Q725" s="42"/>
    </row>
    <row r="726">
      <c r="O726" s="14"/>
      <c r="Q726" s="42"/>
    </row>
    <row r="727">
      <c r="O727" s="14"/>
      <c r="Q727" s="42"/>
    </row>
    <row r="728">
      <c r="O728" s="14"/>
      <c r="Q728" s="42"/>
    </row>
    <row r="729">
      <c r="O729" s="14"/>
      <c r="Q729" s="42"/>
    </row>
    <row r="730">
      <c r="O730" s="14"/>
      <c r="Q730" s="42"/>
    </row>
    <row r="731">
      <c r="O731" s="14"/>
      <c r="Q731" s="42"/>
    </row>
    <row r="732">
      <c r="O732" s="14"/>
      <c r="Q732" s="42"/>
    </row>
    <row r="733">
      <c r="O733" s="14"/>
      <c r="Q733" s="42"/>
    </row>
    <row r="734">
      <c r="O734" s="14"/>
      <c r="Q734" s="42"/>
    </row>
    <row r="735">
      <c r="O735" s="14"/>
      <c r="Q735" s="42"/>
    </row>
    <row r="736">
      <c r="O736" s="14"/>
      <c r="Q736" s="42"/>
    </row>
    <row r="737">
      <c r="O737" s="14"/>
      <c r="Q737" s="42"/>
    </row>
    <row r="738">
      <c r="O738" s="14"/>
      <c r="Q738" s="42"/>
    </row>
    <row r="739">
      <c r="O739" s="14"/>
      <c r="Q739" s="42"/>
    </row>
    <row r="740">
      <c r="O740" s="14"/>
      <c r="Q740" s="42"/>
    </row>
    <row r="741">
      <c r="O741" s="14"/>
      <c r="Q741" s="42"/>
    </row>
    <row r="742">
      <c r="O742" s="14"/>
      <c r="Q742" s="42"/>
    </row>
    <row r="743">
      <c r="O743" s="14"/>
      <c r="Q743" s="42"/>
    </row>
    <row r="744">
      <c r="O744" s="14"/>
      <c r="Q744" s="42"/>
    </row>
    <row r="745">
      <c r="O745" s="14"/>
      <c r="Q745" s="42"/>
    </row>
    <row r="746">
      <c r="O746" s="14"/>
      <c r="Q746" s="42"/>
    </row>
    <row r="747">
      <c r="O747" s="14"/>
      <c r="Q747" s="42"/>
    </row>
    <row r="748">
      <c r="O748" s="14"/>
      <c r="Q748" s="42"/>
    </row>
    <row r="749">
      <c r="O749" s="14"/>
      <c r="Q749" s="42"/>
    </row>
    <row r="750">
      <c r="O750" s="14"/>
      <c r="Q750" s="42"/>
    </row>
    <row r="751">
      <c r="O751" s="14"/>
      <c r="Q751" s="42"/>
    </row>
    <row r="752">
      <c r="O752" s="14"/>
      <c r="Q752" s="42"/>
    </row>
    <row r="753">
      <c r="O753" s="14"/>
      <c r="Q753" s="42"/>
    </row>
    <row r="754">
      <c r="O754" s="14"/>
      <c r="Q754" s="42"/>
    </row>
    <row r="755">
      <c r="O755" s="14"/>
      <c r="Q755" s="42"/>
    </row>
    <row r="756">
      <c r="O756" s="14"/>
      <c r="Q756" s="42"/>
    </row>
    <row r="757">
      <c r="O757" s="14"/>
      <c r="Q757" s="42"/>
    </row>
    <row r="758">
      <c r="O758" s="14"/>
      <c r="Q758" s="42"/>
    </row>
    <row r="759">
      <c r="O759" s="14"/>
      <c r="Q759" s="42"/>
    </row>
    <row r="760">
      <c r="O760" s="14"/>
      <c r="Q760" s="42"/>
    </row>
    <row r="761">
      <c r="O761" s="14"/>
      <c r="Q761" s="42"/>
    </row>
    <row r="762">
      <c r="O762" s="14"/>
      <c r="Q762" s="42"/>
    </row>
    <row r="763">
      <c r="O763" s="14"/>
      <c r="Q763" s="42"/>
    </row>
    <row r="764">
      <c r="O764" s="14"/>
      <c r="Q764" s="42"/>
    </row>
    <row r="765">
      <c r="O765" s="14"/>
      <c r="Q765" s="42"/>
    </row>
    <row r="766">
      <c r="O766" s="14"/>
      <c r="Q766" s="42"/>
    </row>
    <row r="767">
      <c r="O767" s="14"/>
      <c r="Q767" s="42"/>
    </row>
    <row r="768">
      <c r="O768" s="14"/>
      <c r="Q768" s="42"/>
    </row>
    <row r="769">
      <c r="O769" s="14"/>
      <c r="Q769" s="42"/>
    </row>
    <row r="770">
      <c r="O770" s="14"/>
      <c r="Q770" s="42"/>
    </row>
    <row r="771">
      <c r="O771" s="14"/>
      <c r="Q771" s="42"/>
    </row>
    <row r="772">
      <c r="O772" s="14"/>
      <c r="Q772" s="42"/>
    </row>
    <row r="773">
      <c r="O773" s="14"/>
      <c r="Q773" s="42"/>
    </row>
    <row r="774">
      <c r="O774" s="14"/>
      <c r="Q774" s="42"/>
    </row>
    <row r="775">
      <c r="O775" s="14"/>
      <c r="Q775" s="42"/>
    </row>
    <row r="776">
      <c r="O776" s="14"/>
      <c r="Q776" s="42"/>
    </row>
    <row r="777">
      <c r="O777" s="14"/>
      <c r="Q777" s="42"/>
    </row>
    <row r="778">
      <c r="O778" s="14"/>
      <c r="Q778" s="42"/>
    </row>
    <row r="779">
      <c r="O779" s="14"/>
      <c r="Q779" s="42"/>
    </row>
    <row r="780">
      <c r="O780" s="14"/>
      <c r="Q780" s="42"/>
    </row>
    <row r="781">
      <c r="O781" s="14"/>
      <c r="Q781" s="42"/>
    </row>
    <row r="782">
      <c r="O782" s="14"/>
      <c r="Q782" s="42"/>
    </row>
    <row r="783">
      <c r="O783" s="14"/>
      <c r="Q783" s="42"/>
    </row>
    <row r="784">
      <c r="O784" s="14"/>
      <c r="Q784" s="42"/>
    </row>
    <row r="785">
      <c r="O785" s="14"/>
      <c r="Q785" s="42"/>
    </row>
    <row r="786">
      <c r="O786" s="14"/>
      <c r="Q786" s="42"/>
    </row>
    <row r="787">
      <c r="O787" s="14"/>
      <c r="Q787" s="42"/>
    </row>
    <row r="788">
      <c r="O788" s="14"/>
      <c r="Q788" s="42"/>
    </row>
    <row r="789">
      <c r="O789" s="14"/>
      <c r="Q789" s="42"/>
    </row>
    <row r="790">
      <c r="O790" s="14"/>
      <c r="Q790" s="42"/>
    </row>
    <row r="791">
      <c r="O791" s="14"/>
      <c r="Q791" s="42"/>
    </row>
    <row r="792">
      <c r="O792" s="14"/>
      <c r="Q792" s="42"/>
    </row>
    <row r="793">
      <c r="O793" s="14"/>
      <c r="Q793" s="42"/>
    </row>
    <row r="794">
      <c r="O794" s="14"/>
      <c r="Q794" s="42"/>
    </row>
    <row r="795">
      <c r="O795" s="14"/>
      <c r="Q795" s="42"/>
    </row>
    <row r="796">
      <c r="O796" s="14"/>
      <c r="Q796" s="42"/>
    </row>
    <row r="797">
      <c r="O797" s="14"/>
      <c r="Q797" s="42"/>
    </row>
    <row r="798">
      <c r="O798" s="14"/>
      <c r="Q798" s="42"/>
    </row>
    <row r="799">
      <c r="O799" s="14"/>
      <c r="Q799" s="42"/>
    </row>
    <row r="800">
      <c r="O800" s="14"/>
      <c r="Q800" s="42"/>
    </row>
    <row r="801">
      <c r="O801" s="14"/>
      <c r="Q801" s="42"/>
    </row>
    <row r="802">
      <c r="O802" s="14"/>
      <c r="Q802" s="42"/>
    </row>
    <row r="803">
      <c r="O803" s="14"/>
      <c r="Q803" s="42"/>
    </row>
    <row r="804">
      <c r="O804" s="14"/>
      <c r="Q804" s="42"/>
    </row>
    <row r="805">
      <c r="O805" s="14"/>
      <c r="Q805" s="42"/>
    </row>
    <row r="806">
      <c r="O806" s="14"/>
      <c r="Q806" s="42"/>
    </row>
    <row r="807">
      <c r="O807" s="14"/>
      <c r="Q807" s="42"/>
    </row>
    <row r="808">
      <c r="O808" s="14"/>
      <c r="Q808" s="42"/>
    </row>
    <row r="809">
      <c r="O809" s="14"/>
      <c r="Q809" s="42"/>
    </row>
    <row r="810">
      <c r="O810" s="14"/>
      <c r="Q810" s="42"/>
    </row>
    <row r="811">
      <c r="O811" s="14"/>
      <c r="Q811" s="42"/>
    </row>
    <row r="812">
      <c r="O812" s="14"/>
      <c r="Q812" s="42"/>
    </row>
    <row r="813">
      <c r="O813" s="14"/>
      <c r="Q813" s="42"/>
    </row>
    <row r="814">
      <c r="O814" s="14"/>
      <c r="Q814" s="42"/>
    </row>
    <row r="815">
      <c r="O815" s="14"/>
      <c r="Q815" s="42"/>
    </row>
    <row r="816">
      <c r="O816" s="14"/>
      <c r="Q816" s="42"/>
    </row>
    <row r="817">
      <c r="O817" s="14"/>
      <c r="Q817" s="42"/>
    </row>
    <row r="818">
      <c r="O818" s="14"/>
      <c r="Q818" s="42"/>
    </row>
    <row r="819">
      <c r="O819" s="14"/>
      <c r="Q819" s="42"/>
    </row>
    <row r="820">
      <c r="O820" s="14"/>
      <c r="Q820" s="42"/>
    </row>
    <row r="821">
      <c r="O821" s="14"/>
      <c r="Q821" s="42"/>
    </row>
    <row r="822">
      <c r="O822" s="14"/>
      <c r="Q822" s="42"/>
    </row>
    <row r="823">
      <c r="O823" s="14"/>
      <c r="Q823" s="42"/>
    </row>
    <row r="824">
      <c r="O824" s="14"/>
      <c r="Q824" s="42"/>
    </row>
    <row r="825">
      <c r="O825" s="14"/>
      <c r="Q825" s="42"/>
    </row>
    <row r="826">
      <c r="O826" s="14"/>
      <c r="Q826" s="42"/>
    </row>
    <row r="827">
      <c r="O827" s="14"/>
      <c r="Q827" s="42"/>
    </row>
    <row r="828">
      <c r="O828" s="14"/>
      <c r="Q828" s="42"/>
    </row>
    <row r="829">
      <c r="O829" s="14"/>
      <c r="Q829" s="42"/>
    </row>
    <row r="830">
      <c r="O830" s="14"/>
      <c r="Q830" s="42"/>
    </row>
    <row r="831">
      <c r="O831" s="14"/>
      <c r="Q831" s="42"/>
    </row>
    <row r="832">
      <c r="O832" s="14"/>
      <c r="Q832" s="42"/>
    </row>
    <row r="833">
      <c r="O833" s="14"/>
      <c r="Q833" s="42"/>
    </row>
    <row r="834">
      <c r="O834" s="14"/>
      <c r="Q834" s="42"/>
    </row>
    <row r="835">
      <c r="O835" s="14"/>
      <c r="Q835" s="42"/>
    </row>
    <row r="836">
      <c r="O836" s="14"/>
      <c r="Q836" s="42"/>
    </row>
    <row r="837">
      <c r="O837" s="14"/>
      <c r="Q837" s="42"/>
    </row>
    <row r="838">
      <c r="O838" s="14"/>
      <c r="Q838" s="42"/>
    </row>
    <row r="839">
      <c r="O839" s="14"/>
      <c r="Q839" s="42"/>
    </row>
    <row r="840">
      <c r="O840" s="14"/>
      <c r="Q840" s="42"/>
    </row>
    <row r="841">
      <c r="O841" s="14"/>
      <c r="Q841" s="42"/>
    </row>
    <row r="842">
      <c r="O842" s="14"/>
      <c r="Q842" s="42"/>
    </row>
    <row r="843">
      <c r="O843" s="14"/>
      <c r="Q843" s="42"/>
    </row>
    <row r="844">
      <c r="O844" s="14"/>
      <c r="Q844" s="42"/>
    </row>
    <row r="845">
      <c r="O845" s="14"/>
      <c r="Q845" s="42"/>
    </row>
    <row r="846">
      <c r="O846" s="14"/>
      <c r="Q846" s="42"/>
    </row>
    <row r="847">
      <c r="O847" s="14"/>
      <c r="Q847" s="42"/>
    </row>
    <row r="848">
      <c r="O848" s="14"/>
      <c r="Q848" s="42"/>
    </row>
    <row r="849">
      <c r="O849" s="14"/>
      <c r="Q849" s="42"/>
    </row>
    <row r="850">
      <c r="O850" s="14"/>
      <c r="Q850" s="42"/>
    </row>
    <row r="851">
      <c r="O851" s="14"/>
      <c r="Q851" s="42"/>
    </row>
    <row r="852">
      <c r="O852" s="14"/>
      <c r="Q852" s="42"/>
    </row>
    <row r="853">
      <c r="O853" s="14"/>
      <c r="Q853" s="42"/>
    </row>
    <row r="854">
      <c r="O854" s="14"/>
      <c r="Q854" s="42"/>
    </row>
    <row r="855">
      <c r="O855" s="14"/>
      <c r="Q855" s="42"/>
    </row>
    <row r="856">
      <c r="O856" s="14"/>
      <c r="Q856" s="42"/>
    </row>
    <row r="857">
      <c r="O857" s="14"/>
      <c r="Q857" s="42"/>
    </row>
    <row r="858">
      <c r="O858" s="14"/>
      <c r="Q858" s="42"/>
    </row>
    <row r="859">
      <c r="O859" s="14"/>
      <c r="Q859" s="42"/>
    </row>
    <row r="860">
      <c r="O860" s="14"/>
      <c r="Q860" s="42"/>
    </row>
    <row r="861">
      <c r="O861" s="14"/>
      <c r="Q861" s="42"/>
    </row>
    <row r="862">
      <c r="O862" s="14"/>
      <c r="Q862" s="42"/>
    </row>
    <row r="863">
      <c r="O863" s="14"/>
      <c r="Q863" s="42"/>
    </row>
    <row r="864">
      <c r="O864" s="14"/>
      <c r="Q864" s="42"/>
    </row>
    <row r="865">
      <c r="O865" s="14"/>
      <c r="Q865" s="42"/>
    </row>
    <row r="866">
      <c r="O866" s="14"/>
      <c r="Q866" s="42"/>
    </row>
    <row r="867">
      <c r="O867" s="14"/>
      <c r="Q867" s="42"/>
    </row>
    <row r="868">
      <c r="O868" s="14"/>
      <c r="Q868" s="42"/>
    </row>
    <row r="869">
      <c r="O869" s="14"/>
      <c r="Q869" s="42"/>
    </row>
    <row r="870">
      <c r="O870" s="14"/>
      <c r="Q870" s="42"/>
    </row>
    <row r="871">
      <c r="O871" s="14"/>
      <c r="Q871" s="42"/>
    </row>
    <row r="872">
      <c r="O872" s="14"/>
      <c r="Q872" s="42"/>
    </row>
    <row r="873">
      <c r="O873" s="14"/>
      <c r="Q873" s="42"/>
    </row>
    <row r="874">
      <c r="O874" s="14"/>
      <c r="Q874" s="42"/>
    </row>
    <row r="875">
      <c r="O875" s="14"/>
      <c r="Q875" s="42"/>
    </row>
    <row r="876">
      <c r="O876" s="14"/>
      <c r="Q876" s="42"/>
    </row>
    <row r="877">
      <c r="O877" s="14"/>
      <c r="Q877" s="42"/>
    </row>
    <row r="878">
      <c r="O878" s="14"/>
      <c r="Q878" s="42"/>
    </row>
    <row r="879">
      <c r="O879" s="14"/>
      <c r="Q879" s="42"/>
    </row>
    <row r="880">
      <c r="O880" s="14"/>
      <c r="Q880" s="42"/>
    </row>
    <row r="881">
      <c r="O881" s="14"/>
      <c r="Q881" s="42"/>
    </row>
    <row r="882">
      <c r="O882" s="14"/>
      <c r="Q882" s="42"/>
    </row>
    <row r="883">
      <c r="O883" s="14"/>
      <c r="Q883" s="42"/>
    </row>
    <row r="884">
      <c r="O884" s="14"/>
      <c r="Q884" s="42"/>
    </row>
    <row r="885">
      <c r="O885" s="14"/>
      <c r="Q885" s="42"/>
    </row>
    <row r="886">
      <c r="O886" s="14"/>
      <c r="Q886" s="42"/>
    </row>
    <row r="887">
      <c r="O887" s="14"/>
      <c r="Q887" s="42"/>
    </row>
    <row r="888">
      <c r="O888" s="14"/>
      <c r="Q888" s="42"/>
    </row>
    <row r="889">
      <c r="O889" s="14"/>
      <c r="Q889" s="42"/>
    </row>
    <row r="890">
      <c r="O890" s="14"/>
      <c r="Q890" s="42"/>
    </row>
    <row r="891">
      <c r="O891" s="14"/>
      <c r="Q891" s="42"/>
    </row>
    <row r="892">
      <c r="O892" s="14"/>
      <c r="Q892" s="42"/>
    </row>
    <row r="893">
      <c r="O893" s="14"/>
      <c r="Q893" s="42"/>
    </row>
    <row r="894">
      <c r="O894" s="14"/>
      <c r="Q894" s="42"/>
    </row>
    <row r="895">
      <c r="O895" s="14"/>
      <c r="Q895" s="42"/>
    </row>
    <row r="896">
      <c r="O896" s="14"/>
      <c r="Q896" s="42"/>
    </row>
    <row r="897">
      <c r="O897" s="14"/>
      <c r="Q897" s="42"/>
    </row>
    <row r="898">
      <c r="O898" s="14"/>
      <c r="Q898" s="42"/>
    </row>
    <row r="899">
      <c r="O899" s="14"/>
      <c r="Q899" s="42"/>
    </row>
    <row r="900">
      <c r="O900" s="14"/>
      <c r="Q900" s="42"/>
    </row>
    <row r="901">
      <c r="O901" s="14"/>
      <c r="Q901" s="42"/>
    </row>
    <row r="902">
      <c r="O902" s="14"/>
      <c r="Q902" s="42"/>
    </row>
    <row r="903">
      <c r="O903" s="14"/>
      <c r="Q903" s="42"/>
    </row>
    <row r="904">
      <c r="O904" s="14"/>
      <c r="Q904" s="42"/>
    </row>
    <row r="905">
      <c r="O905" s="14"/>
      <c r="Q905" s="42"/>
    </row>
    <row r="906">
      <c r="O906" s="14"/>
      <c r="Q906" s="42"/>
    </row>
    <row r="907">
      <c r="O907" s="14"/>
      <c r="Q907" s="42"/>
    </row>
    <row r="908">
      <c r="O908" s="14"/>
      <c r="Q908" s="42"/>
    </row>
    <row r="909">
      <c r="O909" s="14"/>
      <c r="Q909" s="42"/>
    </row>
    <row r="910">
      <c r="O910" s="14"/>
      <c r="Q910" s="42"/>
    </row>
    <row r="911">
      <c r="O911" s="14"/>
      <c r="Q911" s="42"/>
    </row>
    <row r="912">
      <c r="O912" s="14"/>
      <c r="Q912" s="42"/>
    </row>
    <row r="913">
      <c r="O913" s="14"/>
      <c r="Q913" s="42"/>
    </row>
    <row r="914">
      <c r="O914" s="14"/>
      <c r="Q914" s="42"/>
    </row>
    <row r="915">
      <c r="O915" s="14"/>
      <c r="Q915" s="42"/>
    </row>
    <row r="916">
      <c r="O916" s="14"/>
      <c r="Q916" s="42"/>
    </row>
    <row r="917">
      <c r="O917" s="14"/>
      <c r="Q917" s="42"/>
    </row>
    <row r="918">
      <c r="O918" s="14"/>
      <c r="Q918" s="42"/>
    </row>
    <row r="919">
      <c r="O919" s="14"/>
      <c r="Q919" s="42"/>
    </row>
    <row r="920">
      <c r="O920" s="14"/>
      <c r="Q920" s="42"/>
    </row>
    <row r="921">
      <c r="O921" s="14"/>
      <c r="Q921" s="42"/>
    </row>
    <row r="922">
      <c r="O922" s="14"/>
      <c r="Q922" s="42"/>
    </row>
    <row r="923">
      <c r="O923" s="14"/>
      <c r="Q923" s="42"/>
    </row>
    <row r="924">
      <c r="O924" s="14"/>
      <c r="Q924" s="42"/>
    </row>
    <row r="925">
      <c r="O925" s="14"/>
      <c r="Q925" s="42"/>
    </row>
    <row r="926">
      <c r="O926" s="14"/>
      <c r="Q926" s="42"/>
    </row>
    <row r="927">
      <c r="O927" s="14"/>
      <c r="Q927" s="42"/>
    </row>
    <row r="928">
      <c r="O928" s="14"/>
      <c r="Q928" s="42"/>
    </row>
    <row r="929">
      <c r="O929" s="14"/>
      <c r="Q929" s="42"/>
    </row>
    <row r="930">
      <c r="O930" s="14"/>
      <c r="Q930" s="42"/>
    </row>
    <row r="931">
      <c r="O931" s="14"/>
      <c r="Q931" s="42"/>
    </row>
    <row r="932">
      <c r="O932" s="14"/>
      <c r="Q932" s="42"/>
    </row>
    <row r="933">
      <c r="O933" s="14"/>
      <c r="Q933" s="42"/>
    </row>
    <row r="934">
      <c r="O934" s="14"/>
      <c r="Q934" s="42"/>
    </row>
    <row r="935">
      <c r="O935" s="14"/>
      <c r="Q935" s="42"/>
    </row>
    <row r="936">
      <c r="O936" s="14"/>
      <c r="Q936" s="42"/>
    </row>
    <row r="937">
      <c r="O937" s="14"/>
      <c r="Q937" s="42"/>
    </row>
    <row r="938">
      <c r="O938" s="14"/>
      <c r="Q938" s="42"/>
    </row>
    <row r="939">
      <c r="O939" s="14"/>
      <c r="Q939" s="42"/>
    </row>
    <row r="940">
      <c r="O940" s="14"/>
      <c r="Q940" s="42"/>
    </row>
    <row r="941">
      <c r="O941" s="14"/>
      <c r="Q941" s="42"/>
    </row>
    <row r="942">
      <c r="O942" s="14"/>
      <c r="Q942" s="42"/>
    </row>
    <row r="943">
      <c r="O943" s="14"/>
      <c r="Q943" s="42"/>
    </row>
    <row r="944">
      <c r="O944" s="14"/>
      <c r="Q944" s="42"/>
    </row>
    <row r="945">
      <c r="O945" s="14"/>
      <c r="Q945" s="42"/>
    </row>
    <row r="946">
      <c r="O946" s="14"/>
      <c r="Q946" s="42"/>
    </row>
    <row r="947">
      <c r="O947" s="14"/>
      <c r="Q947" s="42"/>
    </row>
    <row r="948">
      <c r="O948" s="14"/>
      <c r="Q948" s="42"/>
    </row>
    <row r="949">
      <c r="O949" s="14"/>
      <c r="Q949" s="42"/>
    </row>
    <row r="950">
      <c r="O950" s="14"/>
      <c r="Q950" s="42"/>
    </row>
    <row r="951">
      <c r="O951" s="14"/>
      <c r="Q951" s="42"/>
    </row>
    <row r="952">
      <c r="O952" s="14"/>
      <c r="Q952" s="42"/>
    </row>
    <row r="953">
      <c r="O953" s="14"/>
      <c r="Q953" s="42"/>
    </row>
    <row r="954">
      <c r="O954" s="14"/>
      <c r="Q954" s="42"/>
    </row>
    <row r="955">
      <c r="O955" s="14"/>
      <c r="Q955" s="42"/>
    </row>
    <row r="956">
      <c r="O956" s="14"/>
      <c r="Q956" s="42"/>
    </row>
    <row r="957">
      <c r="O957" s="14"/>
      <c r="Q957" s="42"/>
    </row>
    <row r="958">
      <c r="O958" s="14"/>
      <c r="Q958" s="42"/>
    </row>
    <row r="959">
      <c r="O959" s="14"/>
      <c r="Q959" s="42"/>
    </row>
    <row r="960">
      <c r="O960" s="14"/>
      <c r="Q960" s="42"/>
    </row>
    <row r="961">
      <c r="O961" s="14"/>
      <c r="Q961" s="42"/>
    </row>
    <row r="962">
      <c r="O962" s="14"/>
      <c r="Q962" s="42"/>
    </row>
    <row r="963">
      <c r="O963" s="14"/>
      <c r="Q963" s="42"/>
    </row>
    <row r="964">
      <c r="O964" s="14"/>
      <c r="Q964" s="42"/>
    </row>
    <row r="965">
      <c r="O965" s="14"/>
      <c r="Q965" s="42"/>
    </row>
    <row r="966">
      <c r="O966" s="14"/>
      <c r="Q966" s="42"/>
    </row>
    <row r="967">
      <c r="O967" s="14"/>
      <c r="Q967" s="42"/>
    </row>
    <row r="968">
      <c r="O968" s="14"/>
      <c r="Q968" s="42"/>
    </row>
    <row r="969">
      <c r="O969" s="14"/>
      <c r="Q969" s="42"/>
    </row>
    <row r="970">
      <c r="O970" s="14"/>
      <c r="Q970" s="42"/>
    </row>
    <row r="971">
      <c r="O971" s="14"/>
      <c r="Q971" s="42"/>
    </row>
    <row r="972">
      <c r="O972" s="14"/>
      <c r="Q972" s="42"/>
    </row>
    <row r="973">
      <c r="O973" s="14"/>
      <c r="Q973" s="42"/>
    </row>
    <row r="974">
      <c r="O974" s="14"/>
      <c r="Q974" s="42"/>
    </row>
    <row r="975">
      <c r="O975" s="14"/>
      <c r="Q975" s="42"/>
    </row>
    <row r="976">
      <c r="O976" s="14"/>
      <c r="Q976" s="42"/>
    </row>
    <row r="977">
      <c r="O977" s="14"/>
      <c r="Q977" s="42"/>
    </row>
    <row r="978">
      <c r="O978" s="14"/>
      <c r="Q978" s="42"/>
    </row>
    <row r="979">
      <c r="O979" s="14"/>
      <c r="Q979" s="42"/>
    </row>
    <row r="980">
      <c r="O980" s="14"/>
      <c r="Q980" s="42"/>
    </row>
    <row r="981">
      <c r="O981" s="14"/>
      <c r="Q981" s="42"/>
    </row>
    <row r="982">
      <c r="O982" s="14"/>
      <c r="Q982" s="42"/>
    </row>
    <row r="983">
      <c r="O983" s="14"/>
      <c r="Q983" s="42"/>
    </row>
    <row r="984">
      <c r="O984" s="14"/>
      <c r="Q984" s="42"/>
    </row>
    <row r="985">
      <c r="O985" s="14"/>
      <c r="Q985" s="42"/>
    </row>
    <row r="986">
      <c r="O986" s="14"/>
      <c r="Q986" s="42"/>
    </row>
    <row r="987">
      <c r="O987" s="14"/>
      <c r="Q987" s="42"/>
    </row>
    <row r="988">
      <c r="O988" s="14"/>
      <c r="Q988" s="42"/>
    </row>
    <row r="989">
      <c r="O989" s="14"/>
      <c r="Q989" s="42"/>
    </row>
    <row r="990">
      <c r="O990" s="14"/>
      <c r="Q990" s="42"/>
    </row>
    <row r="991">
      <c r="O991" s="14"/>
      <c r="Q991" s="42"/>
    </row>
    <row r="992">
      <c r="O992" s="14"/>
      <c r="Q992" s="42"/>
    </row>
    <row r="993">
      <c r="O993" s="14"/>
      <c r="Q993" s="42"/>
    </row>
    <row r="994">
      <c r="O994" s="14"/>
      <c r="Q994" s="42"/>
    </row>
    <row r="995">
      <c r="O995" s="14"/>
      <c r="Q995" s="42"/>
    </row>
    <row r="996">
      <c r="O996" s="14"/>
      <c r="Q996" s="42"/>
    </row>
    <row r="997">
      <c r="O997" s="14"/>
      <c r="Q997" s="42"/>
    </row>
    <row r="998">
      <c r="O998" s="14"/>
      <c r="Q998" s="42"/>
    </row>
    <row r="999">
      <c r="O999" s="14"/>
      <c r="Q999" s="42"/>
    </row>
    <row r="1000">
      <c r="O1000" s="14"/>
      <c r="Q1000" s="42"/>
    </row>
    <row r="1001">
      <c r="O1001" s="14"/>
      <c r="Q1001" s="42"/>
    </row>
    <row r="1002">
      <c r="O1002" s="14"/>
      <c r="Q1002" s="42"/>
    </row>
    <row r="1003">
      <c r="O1003" s="14"/>
      <c r="Q1003" s="4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4.71"/>
    <col customWidth="1" min="12" max="12" width="19.57"/>
    <col customWidth="1" min="13" max="13" width="18.29"/>
  </cols>
  <sheetData>
    <row r="1">
      <c r="A1" s="84" t="s">
        <v>0</v>
      </c>
      <c r="B1" s="85"/>
      <c r="C1" s="86" t="s">
        <v>130</v>
      </c>
      <c r="D1" s="86" t="s">
        <v>131</v>
      </c>
      <c r="E1" s="86" t="s">
        <v>132</v>
      </c>
      <c r="F1" s="86" t="s">
        <v>133</v>
      </c>
      <c r="G1" s="86" t="s">
        <v>130</v>
      </c>
      <c r="H1" s="86" t="s">
        <v>131</v>
      </c>
      <c r="I1" s="86" t="s">
        <v>132</v>
      </c>
      <c r="J1" s="86" t="s">
        <v>133</v>
      </c>
      <c r="K1" s="86" t="s">
        <v>134</v>
      </c>
      <c r="L1" s="87" t="s">
        <v>135</v>
      </c>
      <c r="M1" s="88" t="s">
        <v>136</v>
      </c>
    </row>
    <row r="2">
      <c r="A2" s="89">
        <f>Worksheet!A2</f>
        <v>22101165</v>
      </c>
      <c r="B2" s="90" t="str">
        <f>Worksheet!B2</f>
        <v>Asif Mahmud</v>
      </c>
      <c r="C2" s="91">
        <v>0.0</v>
      </c>
      <c r="D2" s="91">
        <v>5.0</v>
      </c>
      <c r="E2" s="91">
        <v>6.0</v>
      </c>
      <c r="F2" s="91">
        <v>15.0</v>
      </c>
      <c r="G2" s="91">
        <f t="shared" ref="G2:I2" si="1">C2</f>
        <v>0</v>
      </c>
      <c r="H2" s="92">
        <f t="shared" si="1"/>
        <v>5</v>
      </c>
      <c r="I2" s="92">
        <f t="shared" si="1"/>
        <v>6</v>
      </c>
      <c r="J2" s="91">
        <f t="shared" ref="J2:J38" si="3">if(F2&lt;10,F2,10)</f>
        <v>10</v>
      </c>
      <c r="K2" s="91">
        <f t="shared" ref="K2:K38" si="4">if(F2&gt;10,F2-10,0)</f>
        <v>5</v>
      </c>
      <c r="L2" s="93">
        <f t="shared" ref="L2:L38" si="5">if((SUMPRODUCT(LARGE(G2:J2,{1,2,3})))/3*2&gt;20,20,TRUNC((SUMPRODUCT(LARGE(G2:J2,{1,2,3})))/3*2,2))</f>
        <v>14</v>
      </c>
      <c r="M2" s="94">
        <f t="shared" ref="M2:M38" si="6">if((SUMPRODUCT(LARGE(G2:J2,{1,2,3}))+K2/2)/3*2&gt;20,20,TRUNC((SUMPRODUCT(LARGE(G2:J2,{1,2,3}))+K2/2)/3*2,2))</f>
        <v>15.66</v>
      </c>
    </row>
    <row r="3">
      <c r="A3" s="89">
        <f>Worksheet!A3</f>
        <v>22101192</v>
      </c>
      <c r="B3" s="90" t="str">
        <f>Worksheet!B3</f>
        <v>Maliha Anan Promi</v>
      </c>
      <c r="C3" s="91">
        <v>5.0</v>
      </c>
      <c r="D3" s="91">
        <v>5.0</v>
      </c>
      <c r="E3" s="91">
        <v>6.0</v>
      </c>
      <c r="F3" s="91">
        <v>9.0</v>
      </c>
      <c r="G3" s="91">
        <f t="shared" ref="G3:I3" si="2">C3</f>
        <v>5</v>
      </c>
      <c r="H3" s="92">
        <f t="shared" si="2"/>
        <v>5</v>
      </c>
      <c r="I3" s="92">
        <f t="shared" si="2"/>
        <v>6</v>
      </c>
      <c r="J3" s="91">
        <f t="shared" si="3"/>
        <v>9</v>
      </c>
      <c r="K3" s="91">
        <f t="shared" si="4"/>
        <v>0</v>
      </c>
      <c r="L3" s="93">
        <f t="shared" si="5"/>
        <v>13.33</v>
      </c>
      <c r="M3" s="94">
        <f t="shared" si="6"/>
        <v>13.33</v>
      </c>
    </row>
    <row r="4">
      <c r="A4" s="89">
        <f>Worksheet!A4</f>
        <v>22101297</v>
      </c>
      <c r="B4" s="90" t="str">
        <f>Worksheet!B4</f>
        <v>Parthib Biswas</v>
      </c>
      <c r="C4" s="91">
        <v>4.0</v>
      </c>
      <c r="D4" s="91">
        <v>7.0</v>
      </c>
      <c r="E4" s="91">
        <v>3.0</v>
      </c>
      <c r="F4" s="91">
        <v>0.0</v>
      </c>
      <c r="G4" s="91">
        <f t="shared" ref="G4:I4" si="7">C4</f>
        <v>4</v>
      </c>
      <c r="H4" s="92">
        <f t="shared" si="7"/>
        <v>7</v>
      </c>
      <c r="I4" s="92">
        <f t="shared" si="7"/>
        <v>3</v>
      </c>
      <c r="J4" s="91">
        <f t="shared" si="3"/>
        <v>0</v>
      </c>
      <c r="K4" s="91">
        <f t="shared" si="4"/>
        <v>0</v>
      </c>
      <c r="L4" s="93">
        <f t="shared" si="5"/>
        <v>9.33</v>
      </c>
      <c r="M4" s="94">
        <f t="shared" si="6"/>
        <v>9.33</v>
      </c>
    </row>
    <row r="5">
      <c r="A5" s="89">
        <f>Worksheet!A5</f>
        <v>22201706</v>
      </c>
      <c r="B5" s="90" t="str">
        <f>Worksheet!B5</f>
        <v>Sadnan Basher</v>
      </c>
      <c r="C5" s="91">
        <v>5.0</v>
      </c>
      <c r="D5" s="91">
        <v>5.0</v>
      </c>
      <c r="E5" s="91">
        <v>3.0</v>
      </c>
      <c r="F5" s="91">
        <v>0.0</v>
      </c>
      <c r="G5" s="91">
        <f t="shared" ref="G5:I5" si="8">C5</f>
        <v>5</v>
      </c>
      <c r="H5" s="92">
        <f t="shared" si="8"/>
        <v>5</v>
      </c>
      <c r="I5" s="92">
        <f t="shared" si="8"/>
        <v>3</v>
      </c>
      <c r="J5" s="91">
        <f t="shared" si="3"/>
        <v>0</v>
      </c>
      <c r="K5" s="91">
        <f t="shared" si="4"/>
        <v>0</v>
      </c>
      <c r="L5" s="93">
        <f t="shared" si="5"/>
        <v>8.66</v>
      </c>
      <c r="M5" s="94">
        <f t="shared" si="6"/>
        <v>8.66</v>
      </c>
    </row>
    <row r="6">
      <c r="A6" s="89">
        <f>Worksheet!A6</f>
        <v>22301485</v>
      </c>
      <c r="B6" s="90" t="str">
        <f>Worksheet!B6</f>
        <v>Tamal Kumar Dey</v>
      </c>
      <c r="C6" s="91">
        <v>0.0</v>
      </c>
      <c r="D6" s="91">
        <v>7.0</v>
      </c>
      <c r="E6" s="91">
        <v>9.0</v>
      </c>
      <c r="F6" s="91">
        <v>10.0</v>
      </c>
      <c r="G6" s="91">
        <f t="shared" ref="G6:I6" si="9">C6</f>
        <v>0</v>
      </c>
      <c r="H6" s="92">
        <f t="shared" si="9"/>
        <v>7</v>
      </c>
      <c r="I6" s="92">
        <f t="shared" si="9"/>
        <v>9</v>
      </c>
      <c r="J6" s="91">
        <f t="shared" si="3"/>
        <v>10</v>
      </c>
      <c r="K6" s="91">
        <f t="shared" si="4"/>
        <v>0</v>
      </c>
      <c r="L6" s="93">
        <f t="shared" si="5"/>
        <v>17.33</v>
      </c>
      <c r="M6" s="94">
        <f t="shared" si="6"/>
        <v>17.33</v>
      </c>
    </row>
    <row r="7">
      <c r="A7" s="89">
        <f>Worksheet!A7</f>
        <v>22301581</v>
      </c>
      <c r="B7" s="90" t="str">
        <f>Worksheet!B7</f>
        <v>Rufaida Zoon Raiyan</v>
      </c>
      <c r="C7" s="91">
        <v>0.0</v>
      </c>
      <c r="D7" s="91">
        <v>8.0</v>
      </c>
      <c r="E7" s="91">
        <v>0.0</v>
      </c>
      <c r="F7" s="91">
        <v>15.0</v>
      </c>
      <c r="G7" s="91">
        <f t="shared" ref="G7:I7" si="10">C7</f>
        <v>0</v>
      </c>
      <c r="H7" s="92">
        <f t="shared" si="10"/>
        <v>8</v>
      </c>
      <c r="I7" s="92">
        <f t="shared" si="10"/>
        <v>0</v>
      </c>
      <c r="J7" s="91">
        <f t="shared" si="3"/>
        <v>10</v>
      </c>
      <c r="K7" s="91">
        <f t="shared" si="4"/>
        <v>5</v>
      </c>
      <c r="L7" s="93">
        <f t="shared" si="5"/>
        <v>12</v>
      </c>
      <c r="M7" s="94">
        <f t="shared" si="6"/>
        <v>13.66</v>
      </c>
    </row>
    <row r="8">
      <c r="A8" s="89">
        <f>Worksheet!A8</f>
        <v>23101152</v>
      </c>
      <c r="B8" s="90" t="str">
        <f>Worksheet!B8</f>
        <v>Shihabul Ishraq Tanim</v>
      </c>
      <c r="C8" s="91">
        <v>2.0</v>
      </c>
      <c r="D8" s="91">
        <v>5.0</v>
      </c>
      <c r="E8" s="91">
        <v>7.0</v>
      </c>
      <c r="F8" s="91">
        <v>13.0</v>
      </c>
      <c r="G8" s="91">
        <f t="shared" ref="G8:I8" si="11">C8</f>
        <v>2</v>
      </c>
      <c r="H8" s="92">
        <f t="shared" si="11"/>
        <v>5</v>
      </c>
      <c r="I8" s="92">
        <f t="shared" si="11"/>
        <v>7</v>
      </c>
      <c r="J8" s="91">
        <f t="shared" si="3"/>
        <v>10</v>
      </c>
      <c r="K8" s="91">
        <f t="shared" si="4"/>
        <v>3</v>
      </c>
      <c r="L8" s="93">
        <f t="shared" si="5"/>
        <v>14.66</v>
      </c>
      <c r="M8" s="94">
        <f t="shared" si="6"/>
        <v>15.66</v>
      </c>
    </row>
    <row r="9">
      <c r="A9" s="89">
        <f>Worksheet!A9</f>
        <v>23101196</v>
      </c>
      <c r="B9" s="90" t="str">
        <f>Worksheet!B9</f>
        <v>Nandini Das Jhumu</v>
      </c>
      <c r="C9" s="91">
        <v>8.0</v>
      </c>
      <c r="D9" s="91">
        <v>5.0</v>
      </c>
      <c r="E9" s="91">
        <v>8.0</v>
      </c>
      <c r="F9" s="91">
        <v>10.0</v>
      </c>
      <c r="G9" s="91">
        <f t="shared" ref="G9:I9" si="12">C9</f>
        <v>8</v>
      </c>
      <c r="H9" s="92">
        <f t="shared" si="12"/>
        <v>5</v>
      </c>
      <c r="I9" s="92">
        <f t="shared" si="12"/>
        <v>8</v>
      </c>
      <c r="J9" s="91">
        <f t="shared" si="3"/>
        <v>10</v>
      </c>
      <c r="K9" s="91">
        <f t="shared" si="4"/>
        <v>0</v>
      </c>
      <c r="L9" s="93">
        <f t="shared" si="5"/>
        <v>17.33</v>
      </c>
      <c r="M9" s="94">
        <f t="shared" si="6"/>
        <v>17.33</v>
      </c>
    </row>
    <row r="10">
      <c r="A10" s="89">
        <f>Worksheet!A10</f>
        <v>23201055</v>
      </c>
      <c r="B10" s="90" t="str">
        <f>Worksheet!B10</f>
        <v>Ridwanul Azim</v>
      </c>
      <c r="C10" s="91">
        <v>0.0</v>
      </c>
      <c r="D10" s="91">
        <v>3.0</v>
      </c>
      <c r="E10" s="91">
        <v>0.0</v>
      </c>
      <c r="F10" s="91">
        <v>0.0</v>
      </c>
      <c r="G10" s="91">
        <f t="shared" ref="G10:I10" si="13">C10</f>
        <v>0</v>
      </c>
      <c r="H10" s="92">
        <f t="shared" si="13"/>
        <v>3</v>
      </c>
      <c r="I10" s="92">
        <f t="shared" si="13"/>
        <v>0</v>
      </c>
      <c r="J10" s="91">
        <f t="shared" si="3"/>
        <v>0</v>
      </c>
      <c r="K10" s="91">
        <f t="shared" si="4"/>
        <v>0</v>
      </c>
      <c r="L10" s="93">
        <f t="shared" si="5"/>
        <v>2</v>
      </c>
      <c r="M10" s="94">
        <f t="shared" si="6"/>
        <v>2</v>
      </c>
    </row>
    <row r="11">
      <c r="A11" s="89">
        <f>Worksheet!A11</f>
        <v>23301401</v>
      </c>
      <c r="B11" s="90" t="str">
        <f>Worksheet!B11</f>
        <v>Saddat Hossain Sifat</v>
      </c>
      <c r="C11" s="91">
        <v>8.0</v>
      </c>
      <c r="D11" s="91">
        <v>10.0</v>
      </c>
      <c r="E11" s="91">
        <v>7.0</v>
      </c>
      <c r="F11" s="91">
        <v>12.0</v>
      </c>
      <c r="G11" s="91">
        <f t="shared" ref="G11:I11" si="14">C11</f>
        <v>8</v>
      </c>
      <c r="H11" s="92">
        <f t="shared" si="14"/>
        <v>10</v>
      </c>
      <c r="I11" s="92">
        <f t="shared" si="14"/>
        <v>7</v>
      </c>
      <c r="J11" s="91">
        <f t="shared" si="3"/>
        <v>10</v>
      </c>
      <c r="K11" s="91">
        <f t="shared" si="4"/>
        <v>2</v>
      </c>
      <c r="L11" s="93">
        <f t="shared" si="5"/>
        <v>18.66</v>
      </c>
      <c r="M11" s="94">
        <f t="shared" si="6"/>
        <v>19.33</v>
      </c>
    </row>
    <row r="12">
      <c r="A12" s="89">
        <f>Worksheet!A12</f>
        <v>24101043</v>
      </c>
      <c r="B12" s="90" t="str">
        <f>Worksheet!B12</f>
        <v>Md Abu Noman Kabbo</v>
      </c>
      <c r="C12" s="91">
        <v>0.0</v>
      </c>
      <c r="D12" s="91">
        <v>5.0</v>
      </c>
      <c r="E12" s="91">
        <v>3.0</v>
      </c>
      <c r="F12" s="91"/>
      <c r="G12" s="91">
        <f t="shared" ref="G12:I12" si="15">C12</f>
        <v>0</v>
      </c>
      <c r="H12" s="92">
        <f t="shared" si="15"/>
        <v>5</v>
      </c>
      <c r="I12" s="92">
        <f t="shared" si="15"/>
        <v>3</v>
      </c>
      <c r="J12" s="91" t="str">
        <f t="shared" si="3"/>
        <v/>
      </c>
      <c r="K12" s="91">
        <f t="shared" si="4"/>
        <v>0</v>
      </c>
      <c r="L12" s="93">
        <f t="shared" si="5"/>
        <v>5.33</v>
      </c>
      <c r="M12" s="94">
        <f t="shared" si="6"/>
        <v>5.33</v>
      </c>
    </row>
    <row r="13">
      <c r="A13" s="89">
        <f>Worksheet!A13</f>
        <v>24101081</v>
      </c>
      <c r="B13" s="90" t="str">
        <f>Worksheet!B13</f>
        <v>Adil Abdullah Mahdi</v>
      </c>
      <c r="C13" s="91">
        <v>9.5</v>
      </c>
      <c r="D13" s="91">
        <v>5.0</v>
      </c>
      <c r="E13" s="91">
        <v>6.0</v>
      </c>
      <c r="F13" s="91">
        <v>10.0</v>
      </c>
      <c r="G13" s="91">
        <f t="shared" ref="G13:I13" si="16">C13</f>
        <v>9.5</v>
      </c>
      <c r="H13" s="92">
        <f t="shared" si="16"/>
        <v>5</v>
      </c>
      <c r="I13" s="92">
        <f t="shared" si="16"/>
        <v>6</v>
      </c>
      <c r="J13" s="91">
        <f t="shared" si="3"/>
        <v>10</v>
      </c>
      <c r="K13" s="91">
        <f t="shared" si="4"/>
        <v>0</v>
      </c>
      <c r="L13" s="93">
        <f t="shared" si="5"/>
        <v>17</v>
      </c>
      <c r="M13" s="94">
        <f t="shared" si="6"/>
        <v>17</v>
      </c>
    </row>
    <row r="14">
      <c r="A14" s="89">
        <f>Worksheet!A14</f>
        <v>24101103</v>
      </c>
      <c r="B14" s="90" t="str">
        <f>Worksheet!B14</f>
        <v>Zunayed Amin</v>
      </c>
      <c r="C14" s="91">
        <v>5.5</v>
      </c>
      <c r="D14" s="91">
        <v>10.0</v>
      </c>
      <c r="E14" s="91">
        <v>8.0</v>
      </c>
      <c r="F14" s="91">
        <v>10.0</v>
      </c>
      <c r="G14" s="91">
        <f t="shared" ref="G14:I14" si="17">C14</f>
        <v>5.5</v>
      </c>
      <c r="H14" s="92">
        <f t="shared" si="17"/>
        <v>10</v>
      </c>
      <c r="I14" s="92">
        <f t="shared" si="17"/>
        <v>8</v>
      </c>
      <c r="J14" s="91">
        <f t="shared" si="3"/>
        <v>10</v>
      </c>
      <c r="K14" s="91">
        <f t="shared" si="4"/>
        <v>0</v>
      </c>
      <c r="L14" s="93">
        <f t="shared" si="5"/>
        <v>18.66</v>
      </c>
      <c r="M14" s="94">
        <f t="shared" si="6"/>
        <v>18.66</v>
      </c>
    </row>
    <row r="15">
      <c r="A15" s="89">
        <f>Worksheet!A15</f>
        <v>24110031</v>
      </c>
      <c r="B15" s="90" t="str">
        <f>Worksheet!B15</f>
        <v>Sm Mostofa Morshed Sayeem</v>
      </c>
      <c r="C15" s="91">
        <v>3.0</v>
      </c>
      <c r="D15" s="91">
        <v>0.0</v>
      </c>
      <c r="E15" s="91">
        <v>0.0</v>
      </c>
      <c r="F15" s="91">
        <v>0.0</v>
      </c>
      <c r="G15" s="91">
        <f t="shared" ref="G15:I15" si="18">C15</f>
        <v>3</v>
      </c>
      <c r="H15" s="92">
        <f t="shared" si="18"/>
        <v>0</v>
      </c>
      <c r="I15" s="92">
        <f t="shared" si="18"/>
        <v>0</v>
      </c>
      <c r="J15" s="91">
        <f t="shared" si="3"/>
        <v>0</v>
      </c>
      <c r="K15" s="91">
        <f t="shared" si="4"/>
        <v>0</v>
      </c>
      <c r="L15" s="93">
        <f t="shared" si="5"/>
        <v>2</v>
      </c>
      <c r="M15" s="94">
        <f t="shared" si="6"/>
        <v>2</v>
      </c>
    </row>
    <row r="16">
      <c r="A16" s="89">
        <f>Worksheet!A16</f>
        <v>24201140</v>
      </c>
      <c r="B16" s="90" t="str">
        <f>Worksheet!B16</f>
        <v>Mehrab Rashid Mugdha</v>
      </c>
      <c r="C16" s="91">
        <v>8.0</v>
      </c>
      <c r="D16" s="91">
        <v>10.0</v>
      </c>
      <c r="E16" s="91">
        <v>10.0</v>
      </c>
      <c r="F16" s="91">
        <v>12.0</v>
      </c>
      <c r="G16" s="91">
        <f t="shared" ref="G16:I16" si="19">C16</f>
        <v>8</v>
      </c>
      <c r="H16" s="92">
        <f t="shared" si="19"/>
        <v>10</v>
      </c>
      <c r="I16" s="92">
        <f t="shared" si="19"/>
        <v>10</v>
      </c>
      <c r="J16" s="91">
        <f t="shared" si="3"/>
        <v>10</v>
      </c>
      <c r="K16" s="91">
        <f t="shared" si="4"/>
        <v>2</v>
      </c>
      <c r="L16" s="93">
        <f t="shared" si="5"/>
        <v>20</v>
      </c>
      <c r="M16" s="94">
        <f t="shared" si="6"/>
        <v>20</v>
      </c>
    </row>
    <row r="17">
      <c r="A17" s="89">
        <f>Worksheet!A17</f>
        <v>24301023</v>
      </c>
      <c r="B17" s="90" t="str">
        <f>Worksheet!B17</f>
        <v>Md Muhtasim Chowdhury</v>
      </c>
      <c r="C17" s="91">
        <v>6.0</v>
      </c>
      <c r="D17" s="91">
        <v>5.0</v>
      </c>
      <c r="E17" s="91">
        <v>0.0</v>
      </c>
      <c r="F17" s="91"/>
      <c r="G17" s="91">
        <f t="shared" ref="G17:I17" si="20">C17</f>
        <v>6</v>
      </c>
      <c r="H17" s="92">
        <f t="shared" si="20"/>
        <v>5</v>
      </c>
      <c r="I17" s="92">
        <f t="shared" si="20"/>
        <v>0</v>
      </c>
      <c r="J17" s="91" t="str">
        <f t="shared" si="3"/>
        <v/>
      </c>
      <c r="K17" s="91">
        <f t="shared" si="4"/>
        <v>0</v>
      </c>
      <c r="L17" s="93">
        <f t="shared" si="5"/>
        <v>7.33</v>
      </c>
      <c r="M17" s="94">
        <f t="shared" si="6"/>
        <v>7.33</v>
      </c>
    </row>
    <row r="18">
      <c r="A18" s="89">
        <f>Worksheet!A18</f>
        <v>24301062</v>
      </c>
      <c r="B18" s="90" t="str">
        <f>Worksheet!B18</f>
        <v>Tahseen Zaman</v>
      </c>
      <c r="C18" s="91">
        <v>9.5</v>
      </c>
      <c r="D18" s="91">
        <v>10.0</v>
      </c>
      <c r="E18" s="91">
        <v>9.0</v>
      </c>
      <c r="F18" s="91"/>
      <c r="G18" s="91">
        <f t="shared" ref="G18:I18" si="21">C18</f>
        <v>9.5</v>
      </c>
      <c r="H18" s="92">
        <f t="shared" si="21"/>
        <v>10</v>
      </c>
      <c r="I18" s="92">
        <f t="shared" si="21"/>
        <v>9</v>
      </c>
      <c r="J18" s="91" t="str">
        <f t="shared" si="3"/>
        <v/>
      </c>
      <c r="K18" s="91">
        <f t="shared" si="4"/>
        <v>0</v>
      </c>
      <c r="L18" s="93">
        <f t="shared" si="5"/>
        <v>19</v>
      </c>
      <c r="M18" s="94">
        <f t="shared" si="6"/>
        <v>19</v>
      </c>
    </row>
    <row r="19">
      <c r="A19" s="89">
        <f>Worksheet!A19</f>
        <v>24301066</v>
      </c>
      <c r="B19" s="90" t="str">
        <f>Worksheet!B19</f>
        <v>Lamia Iqbal</v>
      </c>
      <c r="C19" s="91">
        <v>5.5</v>
      </c>
      <c r="D19" s="91">
        <v>10.0</v>
      </c>
      <c r="E19" s="91">
        <v>10.0</v>
      </c>
      <c r="F19" s="91">
        <v>12.0</v>
      </c>
      <c r="G19" s="91">
        <f t="shared" ref="G19:I19" si="22">C19</f>
        <v>5.5</v>
      </c>
      <c r="H19" s="92">
        <f t="shared" si="22"/>
        <v>10</v>
      </c>
      <c r="I19" s="92">
        <f t="shared" si="22"/>
        <v>10</v>
      </c>
      <c r="J19" s="91">
        <f t="shared" si="3"/>
        <v>10</v>
      </c>
      <c r="K19" s="91">
        <f t="shared" si="4"/>
        <v>2</v>
      </c>
      <c r="L19" s="93">
        <f t="shared" si="5"/>
        <v>20</v>
      </c>
      <c r="M19" s="94">
        <f t="shared" si="6"/>
        <v>20</v>
      </c>
    </row>
    <row r="20">
      <c r="A20" s="89">
        <f>Worksheet!A20</f>
        <v>24301073</v>
      </c>
      <c r="B20" s="90" t="str">
        <f>Worksheet!B20</f>
        <v>Rafid Bin Nasir</v>
      </c>
      <c r="C20" s="91">
        <v>5.0</v>
      </c>
      <c r="D20" s="91">
        <v>5.0</v>
      </c>
      <c r="E20" s="91">
        <v>10.0</v>
      </c>
      <c r="F20" s="91">
        <v>14.0</v>
      </c>
      <c r="G20" s="91">
        <f t="shared" ref="G20:I20" si="23">C20</f>
        <v>5</v>
      </c>
      <c r="H20" s="92">
        <f t="shared" si="23"/>
        <v>5</v>
      </c>
      <c r="I20" s="92">
        <f t="shared" si="23"/>
        <v>10</v>
      </c>
      <c r="J20" s="91">
        <f t="shared" si="3"/>
        <v>10</v>
      </c>
      <c r="K20" s="91">
        <f t="shared" si="4"/>
        <v>4</v>
      </c>
      <c r="L20" s="93">
        <f t="shared" si="5"/>
        <v>16.66</v>
      </c>
      <c r="M20" s="94">
        <f t="shared" si="6"/>
        <v>18</v>
      </c>
    </row>
    <row r="21">
      <c r="A21" s="89">
        <f>Worksheet!A21</f>
        <v>24301181</v>
      </c>
      <c r="B21" s="90" t="str">
        <f>Worksheet!B21</f>
        <v>Md Mahi Hyder</v>
      </c>
      <c r="C21" s="91">
        <v>6.0</v>
      </c>
      <c r="D21" s="91">
        <v>5.0</v>
      </c>
      <c r="E21" s="91">
        <v>6.0</v>
      </c>
      <c r="F21" s="91">
        <v>10.0</v>
      </c>
      <c r="G21" s="91">
        <f t="shared" ref="G21:I21" si="24">C21</f>
        <v>6</v>
      </c>
      <c r="H21" s="92">
        <f t="shared" si="24"/>
        <v>5</v>
      </c>
      <c r="I21" s="92">
        <f t="shared" si="24"/>
        <v>6</v>
      </c>
      <c r="J21" s="91">
        <f t="shared" si="3"/>
        <v>10</v>
      </c>
      <c r="K21" s="91">
        <f t="shared" si="4"/>
        <v>0</v>
      </c>
      <c r="L21" s="93">
        <f t="shared" si="5"/>
        <v>14.66</v>
      </c>
      <c r="M21" s="94">
        <f t="shared" si="6"/>
        <v>14.66</v>
      </c>
    </row>
    <row r="22">
      <c r="A22" s="89">
        <f>Worksheet!A22</f>
        <v>24301184</v>
      </c>
      <c r="B22" s="90" t="str">
        <f>Worksheet!B22</f>
        <v>Md. Abrar Faiyaz</v>
      </c>
      <c r="C22" s="91">
        <v>10.0</v>
      </c>
      <c r="D22" s="91">
        <v>10.0</v>
      </c>
      <c r="E22" s="91">
        <v>10.0</v>
      </c>
      <c r="F22" s="91">
        <v>16.0</v>
      </c>
      <c r="G22" s="91">
        <f t="shared" ref="G22:I22" si="25">C22</f>
        <v>10</v>
      </c>
      <c r="H22" s="92">
        <f t="shared" si="25"/>
        <v>10</v>
      </c>
      <c r="I22" s="92">
        <f t="shared" si="25"/>
        <v>10</v>
      </c>
      <c r="J22" s="91">
        <f t="shared" si="3"/>
        <v>10</v>
      </c>
      <c r="K22" s="91">
        <f t="shared" si="4"/>
        <v>6</v>
      </c>
      <c r="L22" s="93">
        <f t="shared" si="5"/>
        <v>20</v>
      </c>
      <c r="M22" s="94">
        <f t="shared" si="6"/>
        <v>20</v>
      </c>
    </row>
    <row r="23">
      <c r="A23" s="89">
        <f>Worksheet!A23</f>
        <v>24301192</v>
      </c>
      <c r="B23" s="90" t="str">
        <f>Worksheet!B23</f>
        <v>Mashfiqur Rahman Khan</v>
      </c>
      <c r="C23" s="91">
        <v>6.5</v>
      </c>
      <c r="D23" s="91">
        <v>10.0</v>
      </c>
      <c r="E23" s="91">
        <v>10.0</v>
      </c>
      <c r="F23" s="91">
        <v>15.0</v>
      </c>
      <c r="G23" s="91">
        <f t="shared" ref="G23:I23" si="26">C23</f>
        <v>6.5</v>
      </c>
      <c r="H23" s="92">
        <f t="shared" si="26"/>
        <v>10</v>
      </c>
      <c r="I23" s="92">
        <f t="shared" si="26"/>
        <v>10</v>
      </c>
      <c r="J23" s="91">
        <f t="shared" si="3"/>
        <v>10</v>
      </c>
      <c r="K23" s="91">
        <f t="shared" si="4"/>
        <v>5</v>
      </c>
      <c r="L23" s="93">
        <f t="shared" si="5"/>
        <v>20</v>
      </c>
      <c r="M23" s="94">
        <f t="shared" si="6"/>
        <v>20</v>
      </c>
    </row>
    <row r="24">
      <c r="A24" s="89">
        <f>Worksheet!A24</f>
        <v>24301202</v>
      </c>
      <c r="B24" s="90" t="str">
        <f>Worksheet!B24</f>
        <v>Dibyo Singho Barua Subrajit</v>
      </c>
      <c r="C24" s="91">
        <v>6.0</v>
      </c>
      <c r="D24" s="91">
        <v>5.0</v>
      </c>
      <c r="E24" s="91">
        <v>7.0</v>
      </c>
      <c r="F24" s="91">
        <v>14.0</v>
      </c>
      <c r="G24" s="91">
        <f t="shared" ref="G24:I24" si="27">C24</f>
        <v>6</v>
      </c>
      <c r="H24" s="92">
        <f t="shared" si="27"/>
        <v>5</v>
      </c>
      <c r="I24" s="92">
        <f t="shared" si="27"/>
        <v>7</v>
      </c>
      <c r="J24" s="91">
        <f t="shared" si="3"/>
        <v>10</v>
      </c>
      <c r="K24" s="91">
        <f t="shared" si="4"/>
        <v>4</v>
      </c>
      <c r="L24" s="93">
        <f t="shared" si="5"/>
        <v>15.33</v>
      </c>
      <c r="M24" s="94">
        <f t="shared" si="6"/>
        <v>16.66</v>
      </c>
    </row>
    <row r="25">
      <c r="A25" s="89">
        <f>Worksheet!A25</f>
        <v>24301306</v>
      </c>
      <c r="B25" s="90" t="str">
        <f>Worksheet!B25</f>
        <v>Md Fahmudur Rahman Fahim</v>
      </c>
      <c r="C25" s="91">
        <v>9.0</v>
      </c>
      <c r="D25" s="91">
        <v>3.0</v>
      </c>
      <c r="E25" s="91">
        <v>3.0</v>
      </c>
      <c r="F25" s="91">
        <v>8.0</v>
      </c>
      <c r="G25" s="91">
        <f t="shared" ref="G25:I25" si="28">C25</f>
        <v>9</v>
      </c>
      <c r="H25" s="92">
        <f t="shared" si="28"/>
        <v>3</v>
      </c>
      <c r="I25" s="92">
        <f t="shared" si="28"/>
        <v>3</v>
      </c>
      <c r="J25" s="91">
        <f t="shared" si="3"/>
        <v>8</v>
      </c>
      <c r="K25" s="91">
        <f t="shared" si="4"/>
        <v>0</v>
      </c>
      <c r="L25" s="93">
        <f t="shared" si="5"/>
        <v>13.33</v>
      </c>
      <c r="M25" s="94">
        <f t="shared" si="6"/>
        <v>13.33</v>
      </c>
    </row>
    <row r="26">
      <c r="A26" s="89">
        <f>Worksheet!A26</f>
        <v>24301320</v>
      </c>
      <c r="B26" s="90" t="str">
        <f>Worksheet!B26</f>
        <v>Md Rafi Hasan</v>
      </c>
      <c r="C26" s="91">
        <v>9.0</v>
      </c>
      <c r="D26" s="91">
        <v>10.0</v>
      </c>
      <c r="E26" s="91">
        <v>3.0</v>
      </c>
      <c r="F26" s="91">
        <v>7.0</v>
      </c>
      <c r="G26" s="91">
        <f t="shared" ref="G26:I26" si="29">C26</f>
        <v>9</v>
      </c>
      <c r="H26" s="92">
        <f t="shared" si="29"/>
        <v>10</v>
      </c>
      <c r="I26" s="92">
        <f t="shared" si="29"/>
        <v>3</v>
      </c>
      <c r="J26" s="91">
        <f t="shared" si="3"/>
        <v>7</v>
      </c>
      <c r="K26" s="91">
        <f t="shared" si="4"/>
        <v>0</v>
      </c>
      <c r="L26" s="93">
        <f t="shared" si="5"/>
        <v>17.33</v>
      </c>
      <c r="M26" s="94">
        <f t="shared" si="6"/>
        <v>17.33</v>
      </c>
    </row>
    <row r="27">
      <c r="A27" s="89">
        <f>Worksheet!A27</f>
        <v>24301321</v>
      </c>
      <c r="B27" s="90" t="str">
        <f>Worksheet!B27</f>
        <v>Nazif Ahmed Khan</v>
      </c>
      <c r="C27" s="91">
        <v>6.0</v>
      </c>
      <c r="D27" s="91">
        <v>6.0</v>
      </c>
      <c r="E27" s="91">
        <v>3.0</v>
      </c>
      <c r="F27" s="91">
        <v>8.0</v>
      </c>
      <c r="G27" s="91">
        <f t="shared" ref="G27:I27" si="30">C27</f>
        <v>6</v>
      </c>
      <c r="H27" s="92">
        <f t="shared" si="30"/>
        <v>6</v>
      </c>
      <c r="I27" s="92">
        <f t="shared" si="30"/>
        <v>3</v>
      </c>
      <c r="J27" s="91">
        <f t="shared" si="3"/>
        <v>8</v>
      </c>
      <c r="K27" s="91">
        <f t="shared" si="4"/>
        <v>0</v>
      </c>
      <c r="L27" s="93">
        <f t="shared" si="5"/>
        <v>13.33</v>
      </c>
      <c r="M27" s="94">
        <f t="shared" si="6"/>
        <v>13.33</v>
      </c>
    </row>
    <row r="28">
      <c r="A28" s="89">
        <f>Worksheet!A28</f>
        <v>24301358</v>
      </c>
      <c r="B28" s="90" t="str">
        <f>Worksheet!B28</f>
        <v>Multazim Nazifa</v>
      </c>
      <c r="C28" s="91">
        <v>6.5</v>
      </c>
      <c r="D28" s="91">
        <v>10.0</v>
      </c>
      <c r="E28" s="91">
        <v>10.0</v>
      </c>
      <c r="F28" s="91">
        <v>10.0</v>
      </c>
      <c r="G28" s="91">
        <f t="shared" ref="G28:I28" si="31">C28</f>
        <v>6.5</v>
      </c>
      <c r="H28" s="92">
        <f t="shared" si="31"/>
        <v>10</v>
      </c>
      <c r="I28" s="92">
        <f t="shared" si="31"/>
        <v>10</v>
      </c>
      <c r="J28" s="91">
        <f t="shared" si="3"/>
        <v>10</v>
      </c>
      <c r="K28" s="91">
        <f t="shared" si="4"/>
        <v>0</v>
      </c>
      <c r="L28" s="93">
        <f t="shared" si="5"/>
        <v>20</v>
      </c>
      <c r="M28" s="94">
        <f t="shared" si="6"/>
        <v>20</v>
      </c>
    </row>
    <row r="29">
      <c r="A29" s="89">
        <f>Worksheet!A29</f>
        <v>24301367</v>
      </c>
      <c r="B29" s="90" t="str">
        <f>Worksheet!B29</f>
        <v>Wazed Alam Wafi</v>
      </c>
      <c r="C29" s="91">
        <v>10.0</v>
      </c>
      <c r="D29" s="91">
        <v>9.0</v>
      </c>
      <c r="E29" s="91">
        <v>3.0</v>
      </c>
      <c r="F29" s="91"/>
      <c r="G29" s="91">
        <f t="shared" ref="G29:I29" si="32">C29</f>
        <v>10</v>
      </c>
      <c r="H29" s="92">
        <f t="shared" si="32"/>
        <v>9</v>
      </c>
      <c r="I29" s="92">
        <f t="shared" si="32"/>
        <v>3</v>
      </c>
      <c r="J29" s="91" t="str">
        <f t="shared" si="3"/>
        <v/>
      </c>
      <c r="K29" s="91">
        <f t="shared" si="4"/>
        <v>0</v>
      </c>
      <c r="L29" s="93">
        <f t="shared" si="5"/>
        <v>14.66</v>
      </c>
      <c r="M29" s="94">
        <f t="shared" si="6"/>
        <v>14.66</v>
      </c>
    </row>
    <row r="30">
      <c r="A30" s="89">
        <f>Worksheet!A30</f>
        <v>24301375</v>
      </c>
      <c r="B30" s="90" t="str">
        <f>Worksheet!B30</f>
        <v>Mohammad Riham Alam</v>
      </c>
      <c r="C30" s="91">
        <v>8.0</v>
      </c>
      <c r="D30" s="91">
        <v>5.0</v>
      </c>
      <c r="E30" s="91">
        <v>3.0</v>
      </c>
      <c r="F30" s="91">
        <v>10.0</v>
      </c>
      <c r="G30" s="91">
        <f t="shared" ref="G30:I30" si="33">C30</f>
        <v>8</v>
      </c>
      <c r="H30" s="92">
        <f t="shared" si="33"/>
        <v>5</v>
      </c>
      <c r="I30" s="92">
        <f t="shared" si="33"/>
        <v>3</v>
      </c>
      <c r="J30" s="91">
        <f t="shared" si="3"/>
        <v>10</v>
      </c>
      <c r="K30" s="91">
        <f t="shared" si="4"/>
        <v>0</v>
      </c>
      <c r="L30" s="93">
        <f t="shared" si="5"/>
        <v>15.33</v>
      </c>
      <c r="M30" s="94">
        <f t="shared" si="6"/>
        <v>15.33</v>
      </c>
    </row>
    <row r="31">
      <c r="A31" s="89">
        <f>Worksheet!A31</f>
        <v>24301420</v>
      </c>
      <c r="B31" s="90" t="str">
        <f>Worksheet!B31</f>
        <v>Aronno Bless Rebeiro</v>
      </c>
      <c r="C31" s="91">
        <v>0.0</v>
      </c>
      <c r="D31" s="91">
        <v>9.0</v>
      </c>
      <c r="E31" s="91">
        <v>3.0</v>
      </c>
      <c r="F31" s="91">
        <v>8.0</v>
      </c>
      <c r="G31" s="91">
        <f t="shared" ref="G31:I31" si="34">C31</f>
        <v>0</v>
      </c>
      <c r="H31" s="92">
        <f t="shared" si="34"/>
        <v>9</v>
      </c>
      <c r="I31" s="92">
        <f t="shared" si="34"/>
        <v>3</v>
      </c>
      <c r="J31" s="91">
        <f t="shared" si="3"/>
        <v>8</v>
      </c>
      <c r="K31" s="91">
        <f t="shared" si="4"/>
        <v>0</v>
      </c>
      <c r="L31" s="93">
        <f t="shared" si="5"/>
        <v>13.33</v>
      </c>
      <c r="M31" s="94">
        <f t="shared" si="6"/>
        <v>13.33</v>
      </c>
    </row>
    <row r="32">
      <c r="A32" s="89">
        <f>Worksheet!A32</f>
        <v>24301451</v>
      </c>
      <c r="B32" s="90" t="str">
        <f>Worksheet!B32</f>
        <v>Sampurna Dey</v>
      </c>
      <c r="C32" s="91">
        <v>9.0</v>
      </c>
      <c r="D32" s="91">
        <v>10.0</v>
      </c>
      <c r="E32" s="91">
        <v>10.0</v>
      </c>
      <c r="F32" s="91">
        <v>12.0</v>
      </c>
      <c r="G32" s="91">
        <f t="shared" ref="G32:I32" si="35">C32</f>
        <v>9</v>
      </c>
      <c r="H32" s="92">
        <f t="shared" si="35"/>
        <v>10</v>
      </c>
      <c r="I32" s="92">
        <f t="shared" si="35"/>
        <v>10</v>
      </c>
      <c r="J32" s="91">
        <f t="shared" si="3"/>
        <v>10</v>
      </c>
      <c r="K32" s="91">
        <f t="shared" si="4"/>
        <v>2</v>
      </c>
      <c r="L32" s="93">
        <f t="shared" si="5"/>
        <v>20</v>
      </c>
      <c r="M32" s="94">
        <f t="shared" si="6"/>
        <v>20</v>
      </c>
    </row>
    <row r="33">
      <c r="A33" s="89">
        <f>Worksheet!A33</f>
        <v>24301484</v>
      </c>
      <c r="B33" s="90" t="str">
        <f>Worksheet!B33</f>
        <v>Md. Iftekhar Haque Iftee</v>
      </c>
      <c r="C33" s="91">
        <v>4.5</v>
      </c>
      <c r="D33" s="91">
        <v>9.0</v>
      </c>
      <c r="E33" s="91">
        <v>10.0</v>
      </c>
      <c r="F33" s="91">
        <v>12.0</v>
      </c>
      <c r="G33" s="91">
        <f t="shared" ref="G33:I33" si="36">C33</f>
        <v>4.5</v>
      </c>
      <c r="H33" s="92">
        <f t="shared" si="36"/>
        <v>9</v>
      </c>
      <c r="I33" s="92">
        <f t="shared" si="36"/>
        <v>10</v>
      </c>
      <c r="J33" s="91">
        <f t="shared" si="3"/>
        <v>10</v>
      </c>
      <c r="K33" s="91">
        <f t="shared" si="4"/>
        <v>2</v>
      </c>
      <c r="L33" s="93">
        <f t="shared" si="5"/>
        <v>19.33</v>
      </c>
      <c r="M33" s="94">
        <f t="shared" si="6"/>
        <v>20</v>
      </c>
    </row>
    <row r="34">
      <c r="A34" s="89">
        <f>Worksheet!A34</f>
        <v>24301499</v>
      </c>
      <c r="B34" s="90" t="str">
        <f>Worksheet!B34</f>
        <v>Zarifah Morshed Nuren</v>
      </c>
      <c r="C34" s="91">
        <v>5.0</v>
      </c>
      <c r="D34" s="91">
        <v>10.0</v>
      </c>
      <c r="E34" s="91">
        <v>10.0</v>
      </c>
      <c r="F34" s="91">
        <v>14.0</v>
      </c>
      <c r="G34" s="91">
        <f t="shared" ref="G34:I34" si="37">C34</f>
        <v>5</v>
      </c>
      <c r="H34" s="92">
        <f t="shared" si="37"/>
        <v>10</v>
      </c>
      <c r="I34" s="92">
        <f t="shared" si="37"/>
        <v>10</v>
      </c>
      <c r="J34" s="91">
        <f t="shared" si="3"/>
        <v>10</v>
      </c>
      <c r="K34" s="91">
        <f t="shared" si="4"/>
        <v>4</v>
      </c>
      <c r="L34" s="93">
        <f t="shared" si="5"/>
        <v>20</v>
      </c>
      <c r="M34" s="94">
        <f t="shared" si="6"/>
        <v>20</v>
      </c>
    </row>
    <row r="35">
      <c r="A35" s="89">
        <f>Worksheet!A35</f>
        <v>24301519</v>
      </c>
      <c r="B35" s="90" t="str">
        <f>Worksheet!B35</f>
        <v>Monira Mehjabeen Eva</v>
      </c>
      <c r="C35" s="91">
        <v>9.5</v>
      </c>
      <c r="D35" s="91">
        <v>10.0</v>
      </c>
      <c r="E35" s="91">
        <v>10.0</v>
      </c>
      <c r="F35" s="91">
        <v>14.0</v>
      </c>
      <c r="G35" s="91">
        <f t="shared" ref="G35:I35" si="38">C35</f>
        <v>9.5</v>
      </c>
      <c r="H35" s="92">
        <f t="shared" si="38"/>
        <v>10</v>
      </c>
      <c r="I35" s="92">
        <f t="shared" si="38"/>
        <v>10</v>
      </c>
      <c r="J35" s="91">
        <f t="shared" si="3"/>
        <v>10</v>
      </c>
      <c r="K35" s="91">
        <f t="shared" si="4"/>
        <v>4</v>
      </c>
      <c r="L35" s="93">
        <f t="shared" si="5"/>
        <v>20</v>
      </c>
      <c r="M35" s="94">
        <f t="shared" si="6"/>
        <v>20</v>
      </c>
    </row>
    <row r="36">
      <c r="A36" s="89">
        <f>Worksheet!A36</f>
        <v>24301546</v>
      </c>
      <c r="B36" s="90" t="str">
        <f>Worksheet!B36</f>
        <v>Manjurul Ahsan Hemel</v>
      </c>
      <c r="C36" s="91">
        <v>5.0</v>
      </c>
      <c r="D36" s="91">
        <v>10.0</v>
      </c>
      <c r="E36" s="91">
        <v>3.0</v>
      </c>
      <c r="F36" s="91">
        <v>10.0</v>
      </c>
      <c r="G36" s="91">
        <f t="shared" ref="G36:I36" si="39">C36</f>
        <v>5</v>
      </c>
      <c r="H36" s="92">
        <f t="shared" si="39"/>
        <v>10</v>
      </c>
      <c r="I36" s="92">
        <f t="shared" si="39"/>
        <v>3</v>
      </c>
      <c r="J36" s="91">
        <f t="shared" si="3"/>
        <v>10</v>
      </c>
      <c r="K36" s="91">
        <f t="shared" si="4"/>
        <v>0</v>
      </c>
      <c r="L36" s="95">
        <f t="shared" si="5"/>
        <v>16.66</v>
      </c>
      <c r="M36" s="96">
        <f t="shared" si="6"/>
        <v>16.66</v>
      </c>
    </row>
    <row r="37">
      <c r="A37" s="89">
        <f>Worksheet!A37</f>
        <v>24315010</v>
      </c>
      <c r="B37" s="90" t="str">
        <f>Worksheet!B37</f>
        <v>Saadat Khan</v>
      </c>
      <c r="C37" s="91">
        <v>8.0</v>
      </c>
      <c r="D37" s="91">
        <v>5.0</v>
      </c>
      <c r="E37" s="91">
        <v>8.0</v>
      </c>
      <c r="F37" s="91"/>
      <c r="G37" s="91">
        <f t="shared" ref="G37:I37" si="40">C37</f>
        <v>8</v>
      </c>
      <c r="H37" s="92">
        <f t="shared" si="40"/>
        <v>5</v>
      </c>
      <c r="I37" s="92">
        <f t="shared" si="40"/>
        <v>8</v>
      </c>
      <c r="J37" s="91" t="str">
        <f t="shared" si="3"/>
        <v/>
      </c>
      <c r="K37" s="91">
        <f t="shared" si="4"/>
        <v>0</v>
      </c>
      <c r="L37" s="95">
        <f t="shared" si="5"/>
        <v>14</v>
      </c>
      <c r="M37" s="96">
        <f t="shared" si="6"/>
        <v>14</v>
      </c>
    </row>
    <row r="38">
      <c r="A38" s="89">
        <f>Worksheet!A38</f>
        <v>24321222</v>
      </c>
      <c r="B38" s="97" t="str">
        <f>Worksheet!B38</f>
        <v>Mir Mainul Ahmed</v>
      </c>
      <c r="C38" s="91">
        <v>9.0</v>
      </c>
      <c r="D38" s="91">
        <v>10.0</v>
      </c>
      <c r="E38" s="91">
        <v>10.0</v>
      </c>
      <c r="F38" s="91">
        <v>12.0</v>
      </c>
      <c r="G38" s="91">
        <f t="shared" ref="G38:I38" si="41">C38</f>
        <v>9</v>
      </c>
      <c r="H38" s="92">
        <f t="shared" si="41"/>
        <v>10</v>
      </c>
      <c r="I38" s="92">
        <f t="shared" si="41"/>
        <v>10</v>
      </c>
      <c r="J38" s="91">
        <f t="shared" si="3"/>
        <v>10</v>
      </c>
      <c r="K38" s="91">
        <f t="shared" si="4"/>
        <v>2</v>
      </c>
      <c r="L38" s="93">
        <f t="shared" si="5"/>
        <v>20</v>
      </c>
      <c r="M38" s="94">
        <f t="shared" si="6"/>
        <v>20</v>
      </c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  <row r="1001">
      <c r="B1001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8.86"/>
    <col customWidth="1" min="7" max="7" width="12.86"/>
  </cols>
  <sheetData>
    <row r="1" ht="27.0" customHeight="1">
      <c r="A1" s="98" t="s">
        <v>0</v>
      </c>
      <c r="B1" s="98"/>
      <c r="C1" s="98" t="s">
        <v>137</v>
      </c>
      <c r="D1" s="98" t="s">
        <v>138</v>
      </c>
      <c r="E1" s="98" t="s">
        <v>139</v>
      </c>
      <c r="F1" s="98" t="s">
        <v>140</v>
      </c>
      <c r="G1" s="99" t="s">
        <v>141</v>
      </c>
    </row>
    <row r="2">
      <c r="A2" s="91">
        <f>IFERROR(__xludf.DUMMYFUNCTION("IMPORTRANGE(""https://docs.google.com/spreadsheets/d/1tmyDd48UzVWk1pBjmWjdHkBHYbZX9G9Y-Lh0NOCkbc8/edit?resourcekey=&amp;gid=385477979#gid=385477979"", ""Sheet5!A77:F113"")"),2.2101165E7)</f>
        <v>22101165</v>
      </c>
      <c r="B2" s="91" t="str">
        <f>IFERROR(__xludf.DUMMYFUNCTION("""COMPUTED_VALUE"""),"Asif Mahmud")</f>
        <v>Asif Mahmud</v>
      </c>
      <c r="C2" s="91">
        <f>IFERROR(__xludf.DUMMYFUNCTION("""COMPUTED_VALUE"""),0.0)</f>
        <v>0</v>
      </c>
      <c r="D2" s="91">
        <f>IFERROR(__xludf.DUMMYFUNCTION("""COMPUTED_VALUE"""),0.0)</f>
        <v>0</v>
      </c>
      <c r="E2" s="91">
        <f>IFERROR(__xludf.DUMMYFUNCTION("""COMPUTED_VALUE"""),0.0)</f>
        <v>0</v>
      </c>
      <c r="F2" s="91">
        <f>IFERROR(__xludf.DUMMYFUNCTION("""COMPUTED_VALUE"""),0.0)</f>
        <v>0</v>
      </c>
      <c r="G2" s="91">
        <f t="shared" ref="G2:G38" si="1">SUM(C2:F2)/4</f>
        <v>0</v>
      </c>
    </row>
    <row r="3">
      <c r="A3" s="91">
        <f>IFERROR(__xludf.DUMMYFUNCTION("""COMPUTED_VALUE"""),2.2101192E7)</f>
        <v>22101192</v>
      </c>
      <c r="B3" s="91" t="str">
        <f>IFERROR(__xludf.DUMMYFUNCTION("""COMPUTED_VALUE"""),"Maliha Anan Promi")</f>
        <v>Maliha Anan Promi</v>
      </c>
      <c r="C3" s="91">
        <f>IFERROR(__xludf.DUMMYFUNCTION("""COMPUTED_VALUE"""),5.0)</f>
        <v>5</v>
      </c>
      <c r="D3" s="91">
        <f>IFERROR(__xludf.DUMMYFUNCTION("""COMPUTED_VALUE"""),5.0)</f>
        <v>5</v>
      </c>
      <c r="E3" s="91">
        <f>IFERROR(__xludf.DUMMYFUNCTION("""COMPUTED_VALUE"""),5.0)</f>
        <v>5</v>
      </c>
      <c r="F3" s="91">
        <f>IFERROR(__xludf.DUMMYFUNCTION("""COMPUTED_VALUE"""),5.0)</f>
        <v>5</v>
      </c>
      <c r="G3" s="91">
        <f t="shared" si="1"/>
        <v>5</v>
      </c>
    </row>
    <row r="4">
      <c r="A4" s="91">
        <f>IFERROR(__xludf.DUMMYFUNCTION("""COMPUTED_VALUE"""),2.2101297E7)</f>
        <v>22101297</v>
      </c>
      <c r="B4" s="91" t="str">
        <f>IFERROR(__xludf.DUMMYFUNCTION("""COMPUTED_VALUE"""),"Parthib Biswas")</f>
        <v>Parthib Biswas</v>
      </c>
      <c r="C4" s="91">
        <f>IFERROR(__xludf.DUMMYFUNCTION("""COMPUTED_VALUE"""),0.0)</f>
        <v>0</v>
      </c>
      <c r="D4" s="91">
        <f>IFERROR(__xludf.DUMMYFUNCTION("""COMPUTED_VALUE"""),5.0)</f>
        <v>5</v>
      </c>
      <c r="E4" s="91">
        <f>IFERROR(__xludf.DUMMYFUNCTION("""COMPUTED_VALUE"""),5.0)</f>
        <v>5</v>
      </c>
      <c r="F4" s="91">
        <f>IFERROR(__xludf.DUMMYFUNCTION("""COMPUTED_VALUE"""),5.0)</f>
        <v>5</v>
      </c>
      <c r="G4" s="91">
        <f t="shared" si="1"/>
        <v>3.75</v>
      </c>
    </row>
    <row r="5">
      <c r="A5" s="91">
        <f>IFERROR(__xludf.DUMMYFUNCTION("""COMPUTED_VALUE"""),2.2201706E7)</f>
        <v>22201706</v>
      </c>
      <c r="B5" s="91" t="str">
        <f>IFERROR(__xludf.DUMMYFUNCTION("""COMPUTED_VALUE"""),"Sadnan Basher")</f>
        <v>Sadnan Basher</v>
      </c>
      <c r="C5" s="91">
        <f>IFERROR(__xludf.DUMMYFUNCTION("""COMPUTED_VALUE"""),5.0)</f>
        <v>5</v>
      </c>
      <c r="D5" s="91">
        <f>IFERROR(__xludf.DUMMYFUNCTION("""COMPUTED_VALUE"""),5.0)</f>
        <v>5</v>
      </c>
      <c r="E5" s="91">
        <f>IFERROR(__xludf.DUMMYFUNCTION("""COMPUTED_VALUE"""),5.0)</f>
        <v>5</v>
      </c>
      <c r="F5" s="91">
        <f>IFERROR(__xludf.DUMMYFUNCTION("""COMPUTED_VALUE"""),0.0)</f>
        <v>0</v>
      </c>
      <c r="G5" s="91">
        <f t="shared" si="1"/>
        <v>3.75</v>
      </c>
    </row>
    <row r="6">
      <c r="A6" s="91">
        <f>IFERROR(__xludf.DUMMYFUNCTION("""COMPUTED_VALUE"""),2.2301485E7)</f>
        <v>22301485</v>
      </c>
      <c r="B6" s="91" t="str">
        <f>IFERROR(__xludf.DUMMYFUNCTION("""COMPUTED_VALUE"""),"Tamal Kumar Dey")</f>
        <v>Tamal Kumar Dey</v>
      </c>
      <c r="C6" s="91">
        <f>IFERROR(__xludf.DUMMYFUNCTION("""COMPUTED_VALUE"""),5.0)</f>
        <v>5</v>
      </c>
      <c r="D6" s="91">
        <f>IFERROR(__xludf.DUMMYFUNCTION("""COMPUTED_VALUE"""),5.0)</f>
        <v>5</v>
      </c>
      <c r="E6" s="91">
        <f>IFERROR(__xludf.DUMMYFUNCTION("""COMPUTED_VALUE"""),5.0)</f>
        <v>5</v>
      </c>
      <c r="F6" s="91">
        <f>IFERROR(__xludf.DUMMYFUNCTION("""COMPUTED_VALUE"""),5.0)</f>
        <v>5</v>
      </c>
      <c r="G6" s="91">
        <f t="shared" si="1"/>
        <v>5</v>
      </c>
    </row>
    <row r="7">
      <c r="A7" s="91">
        <f>IFERROR(__xludf.DUMMYFUNCTION("""COMPUTED_VALUE"""),2.2301581E7)</f>
        <v>22301581</v>
      </c>
      <c r="B7" s="91" t="str">
        <f>IFERROR(__xludf.DUMMYFUNCTION("""COMPUTED_VALUE"""),"Rufaida Zoon Raiyan")</f>
        <v>Rufaida Zoon Raiyan</v>
      </c>
      <c r="C7" s="91">
        <f>IFERROR(__xludf.DUMMYFUNCTION("""COMPUTED_VALUE"""),5.0)</f>
        <v>5</v>
      </c>
      <c r="D7" s="91">
        <f>IFERROR(__xludf.DUMMYFUNCTION("""COMPUTED_VALUE"""),5.0)</f>
        <v>5</v>
      </c>
      <c r="E7" s="91">
        <f>IFERROR(__xludf.DUMMYFUNCTION("""COMPUTED_VALUE"""),5.0)</f>
        <v>5</v>
      </c>
      <c r="F7" s="91">
        <f>IFERROR(__xludf.DUMMYFUNCTION("""COMPUTED_VALUE"""),5.0)</f>
        <v>5</v>
      </c>
      <c r="G7" s="91">
        <f t="shared" si="1"/>
        <v>5</v>
      </c>
    </row>
    <row r="8">
      <c r="A8" s="91">
        <f>IFERROR(__xludf.DUMMYFUNCTION("""COMPUTED_VALUE"""),2.3101152E7)</f>
        <v>23101152</v>
      </c>
      <c r="B8" s="91" t="str">
        <f>IFERROR(__xludf.DUMMYFUNCTION("""COMPUTED_VALUE"""),"Shihabul Ishraq Tanim")</f>
        <v>Shihabul Ishraq Tanim</v>
      </c>
      <c r="C8" s="91">
        <f>IFERROR(__xludf.DUMMYFUNCTION("""COMPUTED_VALUE"""),5.0)</f>
        <v>5</v>
      </c>
      <c r="D8" s="91">
        <f>IFERROR(__xludf.DUMMYFUNCTION("""COMPUTED_VALUE"""),5.0)</f>
        <v>5</v>
      </c>
      <c r="E8" s="91">
        <f>IFERROR(__xludf.DUMMYFUNCTION("""COMPUTED_VALUE"""),5.0)</f>
        <v>5</v>
      </c>
      <c r="F8" s="91">
        <f>IFERROR(__xludf.DUMMYFUNCTION("""COMPUTED_VALUE"""),5.0)</f>
        <v>5</v>
      </c>
      <c r="G8" s="91">
        <f t="shared" si="1"/>
        <v>5</v>
      </c>
    </row>
    <row r="9">
      <c r="A9" s="91">
        <f>IFERROR(__xludf.DUMMYFUNCTION("""COMPUTED_VALUE"""),2.3101196E7)</f>
        <v>23101196</v>
      </c>
      <c r="B9" s="91" t="str">
        <f>IFERROR(__xludf.DUMMYFUNCTION("""COMPUTED_VALUE"""),"Nandini Das Jhumu")</f>
        <v>Nandini Das Jhumu</v>
      </c>
      <c r="C9" s="91">
        <f>IFERROR(__xludf.DUMMYFUNCTION("""COMPUTED_VALUE"""),5.0)</f>
        <v>5</v>
      </c>
      <c r="D9" s="91">
        <f>IFERROR(__xludf.DUMMYFUNCTION("""COMPUTED_VALUE"""),5.0)</f>
        <v>5</v>
      </c>
      <c r="E9" s="91">
        <f>IFERROR(__xludf.DUMMYFUNCTION("""COMPUTED_VALUE"""),5.0)</f>
        <v>5</v>
      </c>
      <c r="F9" s="91">
        <f>IFERROR(__xludf.DUMMYFUNCTION("""COMPUTED_VALUE"""),5.0)</f>
        <v>5</v>
      </c>
      <c r="G9" s="91">
        <f t="shared" si="1"/>
        <v>5</v>
      </c>
    </row>
    <row r="10">
      <c r="A10" s="91">
        <f>IFERROR(__xludf.DUMMYFUNCTION("""COMPUTED_VALUE"""),2.3201055E7)</f>
        <v>23201055</v>
      </c>
      <c r="B10" s="91" t="str">
        <f>IFERROR(__xludf.DUMMYFUNCTION("""COMPUTED_VALUE"""),"Ridwanul Azim")</f>
        <v>Ridwanul Azim</v>
      </c>
      <c r="C10" s="91">
        <f>IFERROR(__xludf.DUMMYFUNCTION("""COMPUTED_VALUE"""),0.0)</f>
        <v>0</v>
      </c>
      <c r="D10" s="91">
        <f>IFERROR(__xludf.DUMMYFUNCTION("""COMPUTED_VALUE"""),0.0)</f>
        <v>0</v>
      </c>
      <c r="E10" s="91">
        <f>IFERROR(__xludf.DUMMYFUNCTION("""COMPUTED_VALUE"""),0.0)</f>
        <v>0</v>
      </c>
      <c r="F10" s="91">
        <f>IFERROR(__xludf.DUMMYFUNCTION("""COMPUTED_VALUE"""),0.0)</f>
        <v>0</v>
      </c>
      <c r="G10" s="91">
        <f t="shared" si="1"/>
        <v>0</v>
      </c>
    </row>
    <row r="11">
      <c r="A11" s="91">
        <f>IFERROR(__xludf.DUMMYFUNCTION("""COMPUTED_VALUE"""),2.3301401E7)</f>
        <v>23301401</v>
      </c>
      <c r="B11" s="91" t="str">
        <f>IFERROR(__xludf.DUMMYFUNCTION("""COMPUTED_VALUE"""),"Saddat Hossain Sifat")</f>
        <v>Saddat Hossain Sifat</v>
      </c>
      <c r="C11" s="91">
        <f>IFERROR(__xludf.DUMMYFUNCTION("""COMPUTED_VALUE"""),5.0)</f>
        <v>5</v>
      </c>
      <c r="D11" s="91">
        <f>IFERROR(__xludf.DUMMYFUNCTION("""COMPUTED_VALUE"""),5.0)</f>
        <v>5</v>
      </c>
      <c r="E11" s="91">
        <f>IFERROR(__xludf.DUMMYFUNCTION("""COMPUTED_VALUE"""),5.0)</f>
        <v>5</v>
      </c>
      <c r="F11" s="91">
        <f>IFERROR(__xludf.DUMMYFUNCTION("""COMPUTED_VALUE"""),5.0)</f>
        <v>5</v>
      </c>
      <c r="G11" s="91">
        <f t="shared" si="1"/>
        <v>5</v>
      </c>
    </row>
    <row r="12">
      <c r="A12" s="91">
        <f>IFERROR(__xludf.DUMMYFUNCTION("""COMPUTED_VALUE"""),2.4101043E7)</f>
        <v>24101043</v>
      </c>
      <c r="B12" s="91" t="str">
        <f>IFERROR(__xludf.DUMMYFUNCTION("""COMPUTED_VALUE"""),"Md Abu Noman Kabbo")</f>
        <v>Md Abu Noman Kabbo</v>
      </c>
      <c r="C12" s="91">
        <f>IFERROR(__xludf.DUMMYFUNCTION("""COMPUTED_VALUE"""),0.0)</f>
        <v>0</v>
      </c>
      <c r="D12" s="91">
        <f>IFERROR(__xludf.DUMMYFUNCTION("""COMPUTED_VALUE"""),0.0)</f>
        <v>0</v>
      </c>
      <c r="E12" s="91">
        <f>IFERROR(__xludf.DUMMYFUNCTION("""COMPUTED_VALUE"""),0.0)</f>
        <v>0</v>
      </c>
      <c r="F12" s="91">
        <f>IFERROR(__xludf.DUMMYFUNCTION("""COMPUTED_VALUE"""),0.0)</f>
        <v>0</v>
      </c>
      <c r="G12" s="91">
        <f t="shared" si="1"/>
        <v>0</v>
      </c>
    </row>
    <row r="13">
      <c r="A13" s="91">
        <f>IFERROR(__xludf.DUMMYFUNCTION("""COMPUTED_VALUE"""),2.4101081E7)</f>
        <v>24101081</v>
      </c>
      <c r="B13" s="91" t="str">
        <f>IFERROR(__xludf.DUMMYFUNCTION("""COMPUTED_VALUE"""),"Adil Abdullah Mahdi")</f>
        <v>Adil Abdullah Mahdi</v>
      </c>
      <c r="C13" s="91">
        <f>IFERROR(__xludf.DUMMYFUNCTION("""COMPUTED_VALUE"""),5.0)</f>
        <v>5</v>
      </c>
      <c r="D13" s="91">
        <f>IFERROR(__xludf.DUMMYFUNCTION("""COMPUTED_VALUE"""),5.0)</f>
        <v>5</v>
      </c>
      <c r="E13" s="91">
        <f>IFERROR(__xludf.DUMMYFUNCTION("""COMPUTED_VALUE"""),5.0)</f>
        <v>5</v>
      </c>
      <c r="F13" s="91">
        <f>IFERROR(__xludf.DUMMYFUNCTION("""COMPUTED_VALUE"""),5.0)</f>
        <v>5</v>
      </c>
      <c r="G13" s="91">
        <f t="shared" si="1"/>
        <v>5</v>
      </c>
    </row>
    <row r="14">
      <c r="A14" s="91">
        <f>IFERROR(__xludf.DUMMYFUNCTION("""COMPUTED_VALUE"""),2.4101103E7)</f>
        <v>24101103</v>
      </c>
      <c r="B14" s="91" t="str">
        <f>IFERROR(__xludf.DUMMYFUNCTION("""COMPUTED_VALUE"""),"Zunayed Amin")</f>
        <v>Zunayed Amin</v>
      </c>
      <c r="C14" s="91">
        <f>IFERROR(__xludf.DUMMYFUNCTION("""COMPUTED_VALUE"""),5.0)</f>
        <v>5</v>
      </c>
      <c r="D14" s="91">
        <f>IFERROR(__xludf.DUMMYFUNCTION("""COMPUTED_VALUE"""),5.0)</f>
        <v>5</v>
      </c>
      <c r="E14" s="91">
        <f>IFERROR(__xludf.DUMMYFUNCTION("""COMPUTED_VALUE"""),5.0)</f>
        <v>5</v>
      </c>
      <c r="F14" s="91">
        <f>IFERROR(__xludf.DUMMYFUNCTION("""COMPUTED_VALUE"""),5.0)</f>
        <v>5</v>
      </c>
      <c r="G14" s="91">
        <f t="shared" si="1"/>
        <v>5</v>
      </c>
    </row>
    <row r="15">
      <c r="A15" s="91">
        <f>IFERROR(__xludf.DUMMYFUNCTION("""COMPUTED_VALUE"""),2.4110031E7)</f>
        <v>24110031</v>
      </c>
      <c r="B15" s="91" t="str">
        <f>IFERROR(__xludf.DUMMYFUNCTION("""COMPUTED_VALUE"""),"Sm Mostofa Morshed Sayeem")</f>
        <v>Sm Mostofa Morshed Sayeem</v>
      </c>
      <c r="C15" s="91">
        <f>IFERROR(__xludf.DUMMYFUNCTION("""COMPUTED_VALUE"""),0.0)</f>
        <v>0</v>
      </c>
      <c r="D15" s="91">
        <f>IFERROR(__xludf.DUMMYFUNCTION("""COMPUTED_VALUE"""),0.0)</f>
        <v>0</v>
      </c>
      <c r="E15" s="91">
        <f>IFERROR(__xludf.DUMMYFUNCTION("""COMPUTED_VALUE"""),0.0)</f>
        <v>0</v>
      </c>
      <c r="F15" s="91">
        <f>IFERROR(__xludf.DUMMYFUNCTION("""COMPUTED_VALUE"""),0.0)</f>
        <v>0</v>
      </c>
      <c r="G15" s="91">
        <f t="shared" si="1"/>
        <v>0</v>
      </c>
    </row>
    <row r="16">
      <c r="A16" s="91">
        <f>IFERROR(__xludf.DUMMYFUNCTION("""COMPUTED_VALUE"""),2.420114E7)</f>
        <v>24201140</v>
      </c>
      <c r="B16" s="91" t="str">
        <f>IFERROR(__xludf.DUMMYFUNCTION("""COMPUTED_VALUE"""),"Mehrab Rashid Mugdha")</f>
        <v>Mehrab Rashid Mugdha</v>
      </c>
      <c r="C16" s="91">
        <f>IFERROR(__xludf.DUMMYFUNCTION("""COMPUTED_VALUE"""),5.0)</f>
        <v>5</v>
      </c>
      <c r="D16" s="91">
        <f>IFERROR(__xludf.DUMMYFUNCTION("""COMPUTED_VALUE"""),5.0)</f>
        <v>5</v>
      </c>
      <c r="E16" s="91">
        <f>IFERROR(__xludf.DUMMYFUNCTION("""COMPUTED_VALUE"""),5.0)</f>
        <v>5</v>
      </c>
      <c r="F16" s="91">
        <f>IFERROR(__xludf.DUMMYFUNCTION("""COMPUTED_VALUE"""),5.0)</f>
        <v>5</v>
      </c>
      <c r="G16" s="91">
        <f t="shared" si="1"/>
        <v>5</v>
      </c>
    </row>
    <row r="17">
      <c r="A17" s="91">
        <f>IFERROR(__xludf.DUMMYFUNCTION("""COMPUTED_VALUE"""),2.4301023E7)</f>
        <v>24301023</v>
      </c>
      <c r="B17" s="91" t="str">
        <f>IFERROR(__xludf.DUMMYFUNCTION("""COMPUTED_VALUE"""),"Md Muhtasim Chowdhury")</f>
        <v>Md Muhtasim Chowdhury</v>
      </c>
      <c r="C17" s="91">
        <f>IFERROR(__xludf.DUMMYFUNCTION("""COMPUTED_VALUE"""),5.0)</f>
        <v>5</v>
      </c>
      <c r="D17" s="91">
        <f>IFERROR(__xludf.DUMMYFUNCTION("""COMPUTED_VALUE"""),5.0)</f>
        <v>5</v>
      </c>
      <c r="E17" s="91">
        <f>IFERROR(__xludf.DUMMYFUNCTION("""COMPUTED_VALUE"""),0.0)</f>
        <v>0</v>
      </c>
      <c r="F17" s="91">
        <f>IFERROR(__xludf.DUMMYFUNCTION("""COMPUTED_VALUE"""),0.0)</f>
        <v>0</v>
      </c>
      <c r="G17" s="91">
        <f t="shared" si="1"/>
        <v>2.5</v>
      </c>
    </row>
    <row r="18">
      <c r="A18" s="91">
        <f>IFERROR(__xludf.DUMMYFUNCTION("""COMPUTED_VALUE"""),2.4301062E7)</f>
        <v>24301062</v>
      </c>
      <c r="B18" s="91" t="str">
        <f>IFERROR(__xludf.DUMMYFUNCTION("""COMPUTED_VALUE"""),"Tahseen Zaman")</f>
        <v>Tahseen Zaman</v>
      </c>
      <c r="C18" s="91">
        <f>IFERROR(__xludf.DUMMYFUNCTION("""COMPUTED_VALUE"""),5.0)</f>
        <v>5</v>
      </c>
      <c r="D18" s="91">
        <f>IFERROR(__xludf.DUMMYFUNCTION("""COMPUTED_VALUE"""),5.0)</f>
        <v>5</v>
      </c>
      <c r="E18" s="91">
        <f>IFERROR(__xludf.DUMMYFUNCTION("""COMPUTED_VALUE"""),5.0)</f>
        <v>5</v>
      </c>
      <c r="F18" s="91">
        <f>IFERROR(__xludf.DUMMYFUNCTION("""COMPUTED_VALUE"""),5.0)</f>
        <v>5</v>
      </c>
      <c r="G18" s="91">
        <f t="shared" si="1"/>
        <v>5</v>
      </c>
    </row>
    <row r="19">
      <c r="A19" s="91">
        <f>IFERROR(__xludf.DUMMYFUNCTION("""COMPUTED_VALUE"""),2.4301066E7)</f>
        <v>24301066</v>
      </c>
      <c r="B19" s="91" t="str">
        <f>IFERROR(__xludf.DUMMYFUNCTION("""COMPUTED_VALUE"""),"Lamia Iqbal")</f>
        <v>Lamia Iqbal</v>
      </c>
      <c r="C19" s="91">
        <f>IFERROR(__xludf.DUMMYFUNCTION("""COMPUTED_VALUE"""),5.0)</f>
        <v>5</v>
      </c>
      <c r="D19" s="91">
        <f>IFERROR(__xludf.DUMMYFUNCTION("""COMPUTED_VALUE"""),5.0)</f>
        <v>5</v>
      </c>
      <c r="E19" s="91">
        <f>IFERROR(__xludf.DUMMYFUNCTION("""COMPUTED_VALUE"""),5.0)</f>
        <v>5</v>
      </c>
      <c r="F19" s="91">
        <f>IFERROR(__xludf.DUMMYFUNCTION("""COMPUTED_VALUE"""),5.0)</f>
        <v>5</v>
      </c>
      <c r="G19" s="91">
        <f t="shared" si="1"/>
        <v>5</v>
      </c>
    </row>
    <row r="20">
      <c r="A20" s="91">
        <f>IFERROR(__xludf.DUMMYFUNCTION("""COMPUTED_VALUE"""),2.4301073E7)</f>
        <v>24301073</v>
      </c>
      <c r="B20" s="91" t="str">
        <f>IFERROR(__xludf.DUMMYFUNCTION("""COMPUTED_VALUE"""),"Rafid Bin Nasir")</f>
        <v>Rafid Bin Nasir</v>
      </c>
      <c r="C20" s="91">
        <f>IFERROR(__xludf.DUMMYFUNCTION("""COMPUTED_VALUE"""),5.0)</f>
        <v>5</v>
      </c>
      <c r="D20" s="91">
        <f>IFERROR(__xludf.DUMMYFUNCTION("""COMPUTED_VALUE"""),5.0)</f>
        <v>5</v>
      </c>
      <c r="E20" s="91">
        <f>IFERROR(__xludf.DUMMYFUNCTION("""COMPUTED_VALUE"""),5.0)</f>
        <v>5</v>
      </c>
      <c r="F20" s="91">
        <f>IFERROR(__xludf.DUMMYFUNCTION("""COMPUTED_VALUE"""),0.0)</f>
        <v>0</v>
      </c>
      <c r="G20" s="91">
        <f t="shared" si="1"/>
        <v>3.75</v>
      </c>
    </row>
    <row r="21">
      <c r="A21" s="91">
        <f>IFERROR(__xludf.DUMMYFUNCTION("""COMPUTED_VALUE"""),2.4301181E7)</f>
        <v>24301181</v>
      </c>
      <c r="B21" s="91" t="str">
        <f>IFERROR(__xludf.DUMMYFUNCTION("""COMPUTED_VALUE"""),"Md Mahi Hyder")</f>
        <v>Md Mahi Hyder</v>
      </c>
      <c r="C21" s="91">
        <f>IFERROR(__xludf.DUMMYFUNCTION("""COMPUTED_VALUE"""),0.0)</f>
        <v>0</v>
      </c>
      <c r="D21" s="91">
        <f>IFERROR(__xludf.DUMMYFUNCTION("""COMPUTED_VALUE"""),5.0)</f>
        <v>5</v>
      </c>
      <c r="E21" s="91">
        <f>IFERROR(__xludf.DUMMYFUNCTION("""COMPUTED_VALUE"""),5.0)</f>
        <v>5</v>
      </c>
      <c r="F21" s="91">
        <f>IFERROR(__xludf.DUMMYFUNCTION("""COMPUTED_VALUE"""),5.0)</f>
        <v>5</v>
      </c>
      <c r="G21" s="91">
        <f t="shared" si="1"/>
        <v>3.75</v>
      </c>
    </row>
    <row r="22">
      <c r="A22" s="91">
        <f>IFERROR(__xludf.DUMMYFUNCTION("""COMPUTED_VALUE"""),2.4301184E7)</f>
        <v>24301184</v>
      </c>
      <c r="B22" s="91" t="str">
        <f>IFERROR(__xludf.DUMMYFUNCTION("""COMPUTED_VALUE"""),"Md. Abrar Faiyaz")</f>
        <v>Md. Abrar Faiyaz</v>
      </c>
      <c r="C22" s="91">
        <f>IFERROR(__xludf.DUMMYFUNCTION("""COMPUTED_VALUE"""),5.0)</f>
        <v>5</v>
      </c>
      <c r="D22" s="91">
        <f>IFERROR(__xludf.DUMMYFUNCTION("""COMPUTED_VALUE"""),5.0)</f>
        <v>5</v>
      </c>
      <c r="E22" s="91">
        <f>IFERROR(__xludf.DUMMYFUNCTION("""COMPUTED_VALUE"""),5.0)</f>
        <v>5</v>
      </c>
      <c r="F22" s="91">
        <f>IFERROR(__xludf.DUMMYFUNCTION("""COMPUTED_VALUE"""),5.0)</f>
        <v>5</v>
      </c>
      <c r="G22" s="91">
        <f t="shared" si="1"/>
        <v>5</v>
      </c>
    </row>
    <row r="23">
      <c r="A23" s="91">
        <f>IFERROR(__xludf.DUMMYFUNCTION("""COMPUTED_VALUE"""),2.4301192E7)</f>
        <v>24301192</v>
      </c>
      <c r="B23" s="91" t="str">
        <f>IFERROR(__xludf.DUMMYFUNCTION("""COMPUTED_VALUE"""),"Mashfiqur Rahman Khan")</f>
        <v>Mashfiqur Rahman Khan</v>
      </c>
      <c r="C23" s="91">
        <f>IFERROR(__xludf.DUMMYFUNCTION("""COMPUTED_VALUE"""),5.0)</f>
        <v>5</v>
      </c>
      <c r="D23" s="91">
        <f>IFERROR(__xludf.DUMMYFUNCTION("""COMPUTED_VALUE"""),5.0)</f>
        <v>5</v>
      </c>
      <c r="E23" s="91">
        <f>IFERROR(__xludf.DUMMYFUNCTION("""COMPUTED_VALUE"""),5.0)</f>
        <v>5</v>
      </c>
      <c r="F23" s="91">
        <f>IFERROR(__xludf.DUMMYFUNCTION("""COMPUTED_VALUE"""),5.0)</f>
        <v>5</v>
      </c>
      <c r="G23" s="91">
        <f t="shared" si="1"/>
        <v>5</v>
      </c>
    </row>
    <row r="24">
      <c r="A24" s="91">
        <f>IFERROR(__xludf.DUMMYFUNCTION("""COMPUTED_VALUE"""),2.4301202E7)</f>
        <v>24301202</v>
      </c>
      <c r="B24" s="91" t="str">
        <f>IFERROR(__xludf.DUMMYFUNCTION("""COMPUTED_VALUE"""),"Dibyo Singho Barua Subrajit")</f>
        <v>Dibyo Singho Barua Subrajit</v>
      </c>
      <c r="C24" s="91">
        <f>IFERROR(__xludf.DUMMYFUNCTION("""COMPUTED_VALUE"""),5.0)</f>
        <v>5</v>
      </c>
      <c r="D24" s="91">
        <f>IFERROR(__xludf.DUMMYFUNCTION("""COMPUTED_VALUE"""),5.0)</f>
        <v>5</v>
      </c>
      <c r="E24" s="91">
        <f>IFERROR(__xludf.DUMMYFUNCTION("""COMPUTED_VALUE"""),5.0)</f>
        <v>5</v>
      </c>
      <c r="F24" s="91">
        <f>IFERROR(__xludf.DUMMYFUNCTION("""COMPUTED_VALUE"""),5.0)</f>
        <v>5</v>
      </c>
      <c r="G24" s="91">
        <f t="shared" si="1"/>
        <v>5</v>
      </c>
    </row>
    <row r="25">
      <c r="A25" s="91">
        <f>IFERROR(__xludf.DUMMYFUNCTION("""COMPUTED_VALUE"""),2.4301306E7)</f>
        <v>24301306</v>
      </c>
      <c r="B25" s="91" t="str">
        <f>IFERROR(__xludf.DUMMYFUNCTION("""COMPUTED_VALUE"""),"Md Fahmudur Rahman Fahim")</f>
        <v>Md Fahmudur Rahman Fahim</v>
      </c>
      <c r="C25" s="91">
        <f>IFERROR(__xludf.DUMMYFUNCTION("""COMPUTED_VALUE"""),5.0)</f>
        <v>5</v>
      </c>
      <c r="D25" s="91">
        <f>IFERROR(__xludf.DUMMYFUNCTION("""COMPUTED_VALUE"""),5.0)</f>
        <v>5</v>
      </c>
      <c r="E25" s="91">
        <f>IFERROR(__xludf.DUMMYFUNCTION("""COMPUTED_VALUE"""),5.0)</f>
        <v>5</v>
      </c>
      <c r="F25" s="91">
        <f>IFERROR(__xludf.DUMMYFUNCTION("""COMPUTED_VALUE"""),5.0)</f>
        <v>5</v>
      </c>
      <c r="G25" s="91">
        <f t="shared" si="1"/>
        <v>5</v>
      </c>
    </row>
    <row r="26">
      <c r="A26" s="91">
        <f>IFERROR(__xludf.DUMMYFUNCTION("""COMPUTED_VALUE"""),2.430132E7)</f>
        <v>24301320</v>
      </c>
      <c r="B26" s="91" t="str">
        <f>IFERROR(__xludf.DUMMYFUNCTION("""COMPUTED_VALUE"""),"Md Rafi Hasan")</f>
        <v>Md Rafi Hasan</v>
      </c>
      <c r="C26" s="91">
        <f>IFERROR(__xludf.DUMMYFUNCTION("""COMPUTED_VALUE"""),5.0)</f>
        <v>5</v>
      </c>
      <c r="D26" s="91">
        <f>IFERROR(__xludf.DUMMYFUNCTION("""COMPUTED_VALUE"""),5.0)</f>
        <v>5</v>
      </c>
      <c r="E26" s="91">
        <f>IFERROR(__xludf.DUMMYFUNCTION("""COMPUTED_VALUE"""),5.0)</f>
        <v>5</v>
      </c>
      <c r="F26" s="91">
        <f>IFERROR(__xludf.DUMMYFUNCTION("""COMPUTED_VALUE"""),5.0)</f>
        <v>5</v>
      </c>
      <c r="G26" s="91">
        <f t="shared" si="1"/>
        <v>5</v>
      </c>
    </row>
    <row r="27">
      <c r="A27" s="91">
        <f>IFERROR(__xludf.DUMMYFUNCTION("""COMPUTED_VALUE"""),2.4301321E7)</f>
        <v>24301321</v>
      </c>
      <c r="B27" s="91" t="str">
        <f>IFERROR(__xludf.DUMMYFUNCTION("""COMPUTED_VALUE"""),"Nazif Ahmed Khan")</f>
        <v>Nazif Ahmed Khan</v>
      </c>
      <c r="C27" s="91">
        <f>IFERROR(__xludf.DUMMYFUNCTION("""COMPUTED_VALUE"""),5.0)</f>
        <v>5</v>
      </c>
      <c r="D27" s="91">
        <f>IFERROR(__xludf.DUMMYFUNCTION("""COMPUTED_VALUE"""),5.0)</f>
        <v>5</v>
      </c>
      <c r="E27" s="91">
        <f>IFERROR(__xludf.DUMMYFUNCTION("""COMPUTED_VALUE"""),5.0)</f>
        <v>5</v>
      </c>
      <c r="F27" s="91">
        <f>IFERROR(__xludf.DUMMYFUNCTION("""COMPUTED_VALUE"""),5.0)</f>
        <v>5</v>
      </c>
      <c r="G27" s="91">
        <f t="shared" si="1"/>
        <v>5</v>
      </c>
    </row>
    <row r="28">
      <c r="A28" s="91">
        <f>IFERROR(__xludf.DUMMYFUNCTION("""COMPUTED_VALUE"""),2.4301358E7)</f>
        <v>24301358</v>
      </c>
      <c r="B28" s="91" t="str">
        <f>IFERROR(__xludf.DUMMYFUNCTION("""COMPUTED_VALUE"""),"Multazim Nazifa")</f>
        <v>Multazim Nazifa</v>
      </c>
      <c r="C28" s="91">
        <f>IFERROR(__xludf.DUMMYFUNCTION("""COMPUTED_VALUE"""),5.0)</f>
        <v>5</v>
      </c>
      <c r="D28" s="91">
        <f>IFERROR(__xludf.DUMMYFUNCTION("""COMPUTED_VALUE"""),5.0)</f>
        <v>5</v>
      </c>
      <c r="E28" s="91">
        <f>IFERROR(__xludf.DUMMYFUNCTION("""COMPUTED_VALUE"""),5.0)</f>
        <v>5</v>
      </c>
      <c r="F28" s="91">
        <f>IFERROR(__xludf.DUMMYFUNCTION("""COMPUTED_VALUE"""),5.0)</f>
        <v>5</v>
      </c>
      <c r="G28" s="91">
        <f t="shared" si="1"/>
        <v>5</v>
      </c>
    </row>
    <row r="29">
      <c r="A29" s="100">
        <f>IFERROR(__xludf.DUMMYFUNCTION("""COMPUTED_VALUE"""),2.4301367E7)</f>
        <v>24301367</v>
      </c>
      <c r="B29" s="100" t="str">
        <f>IFERROR(__xludf.DUMMYFUNCTION("""COMPUTED_VALUE"""),"Wazed Alam Wafi")</f>
        <v>Wazed Alam Wafi</v>
      </c>
      <c r="C29" s="100">
        <f>IFERROR(__xludf.DUMMYFUNCTION("""COMPUTED_VALUE"""),5.0)</f>
        <v>5</v>
      </c>
      <c r="D29" s="100">
        <f>IFERROR(__xludf.DUMMYFUNCTION("""COMPUTED_VALUE"""),5.0)</f>
        <v>5</v>
      </c>
      <c r="E29" s="100">
        <f>IFERROR(__xludf.DUMMYFUNCTION("""COMPUTED_VALUE"""),5.0)</f>
        <v>5</v>
      </c>
      <c r="F29" s="100">
        <f>IFERROR(__xludf.DUMMYFUNCTION("""COMPUTED_VALUE"""),5.0)</f>
        <v>5</v>
      </c>
      <c r="G29" s="100">
        <f t="shared" si="1"/>
        <v>5</v>
      </c>
    </row>
    <row r="30">
      <c r="A30" s="91">
        <f>IFERROR(__xludf.DUMMYFUNCTION("""COMPUTED_VALUE"""),2.4301375E7)</f>
        <v>24301375</v>
      </c>
      <c r="B30" s="91" t="str">
        <f>IFERROR(__xludf.DUMMYFUNCTION("""COMPUTED_VALUE"""),"Mohammad Riham Alam")</f>
        <v>Mohammad Riham Alam</v>
      </c>
      <c r="C30" s="91">
        <f>IFERROR(__xludf.DUMMYFUNCTION("""COMPUTED_VALUE"""),5.0)</f>
        <v>5</v>
      </c>
      <c r="D30" s="91">
        <f>IFERROR(__xludf.DUMMYFUNCTION("""COMPUTED_VALUE"""),5.0)</f>
        <v>5</v>
      </c>
      <c r="E30" s="91">
        <f>IFERROR(__xludf.DUMMYFUNCTION("""COMPUTED_VALUE"""),5.0)</f>
        <v>5</v>
      </c>
      <c r="F30" s="91">
        <f>IFERROR(__xludf.DUMMYFUNCTION("""COMPUTED_VALUE"""),5.0)</f>
        <v>5</v>
      </c>
      <c r="G30" s="91">
        <f t="shared" si="1"/>
        <v>5</v>
      </c>
    </row>
    <row r="31">
      <c r="A31" s="91">
        <f>IFERROR(__xludf.DUMMYFUNCTION("""COMPUTED_VALUE"""),2.430142E7)</f>
        <v>24301420</v>
      </c>
      <c r="B31" s="91" t="str">
        <f>IFERROR(__xludf.DUMMYFUNCTION("""COMPUTED_VALUE"""),"Aronno Bless Rebeiro")</f>
        <v>Aronno Bless Rebeiro</v>
      </c>
      <c r="C31" s="91">
        <f>IFERROR(__xludf.DUMMYFUNCTION("""COMPUTED_VALUE"""),5.0)</f>
        <v>5</v>
      </c>
      <c r="D31" s="91">
        <f>IFERROR(__xludf.DUMMYFUNCTION("""COMPUTED_VALUE"""),5.0)</f>
        <v>5</v>
      </c>
      <c r="E31" s="91">
        <f>IFERROR(__xludf.DUMMYFUNCTION("""COMPUTED_VALUE"""),5.0)</f>
        <v>5</v>
      </c>
      <c r="F31" s="91">
        <f>IFERROR(__xludf.DUMMYFUNCTION("""COMPUTED_VALUE"""),5.0)</f>
        <v>5</v>
      </c>
      <c r="G31" s="91">
        <f t="shared" si="1"/>
        <v>5</v>
      </c>
    </row>
    <row r="32">
      <c r="A32" s="91">
        <f>IFERROR(__xludf.DUMMYFUNCTION("""COMPUTED_VALUE"""),2.4301451E7)</f>
        <v>24301451</v>
      </c>
      <c r="B32" s="91" t="str">
        <f>IFERROR(__xludf.DUMMYFUNCTION("""COMPUTED_VALUE"""),"Sampurna Dey")</f>
        <v>Sampurna Dey</v>
      </c>
      <c r="C32" s="91">
        <f>IFERROR(__xludf.DUMMYFUNCTION("""COMPUTED_VALUE"""),5.0)</f>
        <v>5</v>
      </c>
      <c r="D32" s="91">
        <f>IFERROR(__xludf.DUMMYFUNCTION("""COMPUTED_VALUE"""),5.0)</f>
        <v>5</v>
      </c>
      <c r="E32" s="91">
        <f>IFERROR(__xludf.DUMMYFUNCTION("""COMPUTED_VALUE"""),5.0)</f>
        <v>5</v>
      </c>
      <c r="F32" s="91">
        <f>IFERROR(__xludf.DUMMYFUNCTION("""COMPUTED_VALUE"""),5.0)</f>
        <v>5</v>
      </c>
      <c r="G32" s="91">
        <f t="shared" si="1"/>
        <v>5</v>
      </c>
    </row>
    <row r="33">
      <c r="A33" s="91">
        <f>IFERROR(__xludf.DUMMYFUNCTION("""COMPUTED_VALUE"""),2.4301484E7)</f>
        <v>24301484</v>
      </c>
      <c r="B33" s="91" t="str">
        <f>IFERROR(__xludf.DUMMYFUNCTION("""COMPUTED_VALUE"""),"Md. Iftekhar Haque Iftee")</f>
        <v>Md. Iftekhar Haque Iftee</v>
      </c>
      <c r="C33" s="91">
        <f>IFERROR(__xludf.DUMMYFUNCTION("""COMPUTED_VALUE"""),5.0)</f>
        <v>5</v>
      </c>
      <c r="D33" s="91">
        <f>IFERROR(__xludf.DUMMYFUNCTION("""COMPUTED_VALUE"""),5.0)</f>
        <v>5</v>
      </c>
      <c r="E33" s="91">
        <f>IFERROR(__xludf.DUMMYFUNCTION("""COMPUTED_VALUE"""),5.0)</f>
        <v>5</v>
      </c>
      <c r="F33" s="91">
        <f>IFERROR(__xludf.DUMMYFUNCTION("""COMPUTED_VALUE"""),5.0)</f>
        <v>5</v>
      </c>
      <c r="G33" s="91">
        <f t="shared" si="1"/>
        <v>5</v>
      </c>
    </row>
    <row r="34">
      <c r="A34" s="91">
        <f>IFERROR(__xludf.DUMMYFUNCTION("""COMPUTED_VALUE"""),2.4301499E7)</f>
        <v>24301499</v>
      </c>
      <c r="B34" s="91" t="str">
        <f>IFERROR(__xludf.DUMMYFUNCTION("""COMPUTED_VALUE"""),"Zarifah Morshed Nuren")</f>
        <v>Zarifah Morshed Nuren</v>
      </c>
      <c r="C34" s="91">
        <f>IFERROR(__xludf.DUMMYFUNCTION("""COMPUTED_VALUE"""),5.0)</f>
        <v>5</v>
      </c>
      <c r="D34" s="91">
        <f>IFERROR(__xludf.DUMMYFUNCTION("""COMPUTED_VALUE"""),5.0)</f>
        <v>5</v>
      </c>
      <c r="E34" s="91">
        <f>IFERROR(__xludf.DUMMYFUNCTION("""COMPUTED_VALUE"""),5.0)</f>
        <v>5</v>
      </c>
      <c r="F34" s="91">
        <f>IFERROR(__xludf.DUMMYFUNCTION("""COMPUTED_VALUE"""),5.0)</f>
        <v>5</v>
      </c>
      <c r="G34" s="91">
        <f t="shared" si="1"/>
        <v>5</v>
      </c>
    </row>
    <row r="35">
      <c r="A35" s="91">
        <f>IFERROR(__xludf.DUMMYFUNCTION("""COMPUTED_VALUE"""),2.4301519E7)</f>
        <v>24301519</v>
      </c>
      <c r="B35" s="91" t="str">
        <f>IFERROR(__xludf.DUMMYFUNCTION("""COMPUTED_VALUE"""),"Monira Mehjabeen Eva")</f>
        <v>Monira Mehjabeen Eva</v>
      </c>
      <c r="C35" s="91">
        <f>IFERROR(__xludf.DUMMYFUNCTION("""COMPUTED_VALUE"""),5.0)</f>
        <v>5</v>
      </c>
      <c r="D35" s="91">
        <f>IFERROR(__xludf.DUMMYFUNCTION("""COMPUTED_VALUE"""),5.0)</f>
        <v>5</v>
      </c>
      <c r="E35" s="91">
        <f>IFERROR(__xludf.DUMMYFUNCTION("""COMPUTED_VALUE"""),5.0)</f>
        <v>5</v>
      </c>
      <c r="F35" s="91">
        <f>IFERROR(__xludf.DUMMYFUNCTION("""COMPUTED_VALUE"""),5.0)</f>
        <v>5</v>
      </c>
      <c r="G35" s="91">
        <f t="shared" si="1"/>
        <v>5</v>
      </c>
    </row>
    <row r="36">
      <c r="A36" s="91">
        <f>IFERROR(__xludf.DUMMYFUNCTION("""COMPUTED_VALUE"""),2.4301546E7)</f>
        <v>24301546</v>
      </c>
      <c r="B36" s="91" t="str">
        <f>IFERROR(__xludf.DUMMYFUNCTION("""COMPUTED_VALUE"""),"Manjurul Ahsan Hemel")</f>
        <v>Manjurul Ahsan Hemel</v>
      </c>
      <c r="C36" s="91">
        <f>IFERROR(__xludf.DUMMYFUNCTION("""COMPUTED_VALUE"""),5.0)</f>
        <v>5</v>
      </c>
      <c r="D36" s="91">
        <f>IFERROR(__xludf.DUMMYFUNCTION("""COMPUTED_VALUE"""),5.0)</f>
        <v>5</v>
      </c>
      <c r="E36" s="91">
        <f>IFERROR(__xludf.DUMMYFUNCTION("""COMPUTED_VALUE"""),5.0)</f>
        <v>5</v>
      </c>
      <c r="F36" s="91">
        <f>IFERROR(__xludf.DUMMYFUNCTION("""COMPUTED_VALUE"""),5.0)</f>
        <v>5</v>
      </c>
      <c r="G36" s="91">
        <f t="shared" si="1"/>
        <v>5</v>
      </c>
    </row>
    <row r="37">
      <c r="A37" s="91">
        <f>IFERROR(__xludf.DUMMYFUNCTION("""COMPUTED_VALUE"""),2.431501E7)</f>
        <v>24315010</v>
      </c>
      <c r="B37" s="91" t="str">
        <f>IFERROR(__xludf.DUMMYFUNCTION("""COMPUTED_VALUE"""),"Saadat Khan")</f>
        <v>Saadat Khan</v>
      </c>
      <c r="C37" s="91">
        <f>IFERROR(__xludf.DUMMYFUNCTION("""COMPUTED_VALUE"""),5.0)</f>
        <v>5</v>
      </c>
      <c r="D37" s="91">
        <f>IFERROR(__xludf.DUMMYFUNCTION("""COMPUTED_VALUE"""),5.0)</f>
        <v>5</v>
      </c>
      <c r="E37" s="91">
        <f>IFERROR(__xludf.DUMMYFUNCTION("""COMPUTED_VALUE"""),5.0)</f>
        <v>5</v>
      </c>
      <c r="F37" s="91">
        <f>IFERROR(__xludf.DUMMYFUNCTION("""COMPUTED_VALUE"""),5.0)</f>
        <v>5</v>
      </c>
      <c r="G37" s="91">
        <f t="shared" si="1"/>
        <v>5</v>
      </c>
    </row>
    <row r="38">
      <c r="A38" s="100">
        <f>IFERROR(__xludf.DUMMYFUNCTION("""COMPUTED_VALUE"""),2.4321222E7)</f>
        <v>24321222</v>
      </c>
      <c r="B38" s="101" t="str">
        <f>IFERROR(__xludf.DUMMYFUNCTION("""COMPUTED_VALUE"""),"Mir Mainul Ahmed")</f>
        <v>Mir Mainul Ahmed</v>
      </c>
      <c r="C38" s="91">
        <f>IFERROR(__xludf.DUMMYFUNCTION("""COMPUTED_VALUE"""),5.0)</f>
        <v>5</v>
      </c>
      <c r="D38" s="91">
        <f>IFERROR(__xludf.DUMMYFUNCTION("""COMPUTED_VALUE"""),5.0)</f>
        <v>5</v>
      </c>
      <c r="E38" s="91">
        <f>IFERROR(__xludf.DUMMYFUNCTION("""COMPUTED_VALUE"""),5.0)</f>
        <v>5</v>
      </c>
      <c r="F38" s="91">
        <f>IFERROR(__xludf.DUMMYFUNCTION("""COMPUTED_VALUE"""),5.0)</f>
        <v>5</v>
      </c>
      <c r="G38" s="91">
        <f t="shared" si="1"/>
        <v>5</v>
      </c>
    </row>
    <row r="39">
      <c r="A39" s="102" t="str">
        <f>Worksheet!A39</f>
        <v/>
      </c>
      <c r="B39" s="102" t="str">
        <f>Worksheet!B39</f>
        <v/>
      </c>
    </row>
    <row r="40">
      <c r="A40" s="70" t="str">
        <f>Worksheet!A40</f>
        <v/>
      </c>
      <c r="B40" s="70" t="str">
        <f>Worksheet!B40</f>
        <v/>
      </c>
    </row>
    <row r="41">
      <c r="A41" s="70" t="str">
        <f>Worksheet!A41</f>
        <v/>
      </c>
      <c r="B41" s="70" t="str">
        <f>Worksheet!B41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3" t="s">
        <v>142</v>
      </c>
      <c r="B1" s="103" t="s">
        <v>101</v>
      </c>
      <c r="C1" s="103" t="s">
        <v>94</v>
      </c>
      <c r="D1" s="103" t="s">
        <v>143</v>
      </c>
    </row>
    <row r="2">
      <c r="A2" s="70">
        <v>2.2101165E7</v>
      </c>
      <c r="B2" s="70">
        <v>2.553459119</v>
      </c>
      <c r="C2" s="70">
        <v>0.6666666667</v>
      </c>
      <c r="D2" s="70">
        <v>1.886792453</v>
      </c>
    </row>
    <row r="3">
      <c r="A3" s="70">
        <v>2.2101192E7</v>
      </c>
      <c r="B3" s="70">
        <v>0.4716981132</v>
      </c>
      <c r="C3" s="70">
        <v>0.0</v>
      </c>
      <c r="D3" s="70">
        <v>0.4716981132</v>
      </c>
    </row>
    <row r="4">
      <c r="A4" s="70">
        <v>2.2101297E7</v>
      </c>
      <c r="B4" s="70">
        <v>4.811320755</v>
      </c>
      <c r="C4" s="70">
        <v>0.0</v>
      </c>
      <c r="D4" s="70">
        <v>4.811320755</v>
      </c>
    </row>
    <row r="5">
      <c r="A5" s="70">
        <v>2.2201706E7</v>
      </c>
      <c r="B5" s="70">
        <v>5.0</v>
      </c>
      <c r="C5" s="70">
        <v>0.0</v>
      </c>
      <c r="D5" s="70">
        <v>5.0</v>
      </c>
    </row>
    <row r="6">
      <c r="A6" s="70">
        <v>2.2301485E7</v>
      </c>
      <c r="B6" s="70">
        <v>0.8490566038</v>
      </c>
      <c r="C6" s="70">
        <v>0.0</v>
      </c>
      <c r="D6" s="70">
        <v>0.8490566038</v>
      </c>
    </row>
    <row r="7">
      <c r="A7" s="70">
        <v>2.2301581E7</v>
      </c>
      <c r="B7" s="70">
        <v>0.6603773585</v>
      </c>
      <c r="C7" s="70">
        <v>0.0</v>
      </c>
      <c r="D7" s="70">
        <v>0.6603773585</v>
      </c>
    </row>
    <row r="8">
      <c r="A8" s="70">
        <v>2.3101152E7</v>
      </c>
      <c r="B8" s="70">
        <v>8.459119497</v>
      </c>
      <c r="C8" s="70">
        <v>6.666666667</v>
      </c>
      <c r="D8" s="70">
        <v>1.79245283</v>
      </c>
    </row>
    <row r="9">
      <c r="A9" s="70">
        <v>2.3101196E7</v>
      </c>
      <c r="B9" s="70">
        <v>4.905660377</v>
      </c>
      <c r="C9" s="70">
        <v>0.0</v>
      </c>
      <c r="D9" s="70">
        <v>4.905660377</v>
      </c>
    </row>
    <row r="10">
      <c r="A10" s="70">
        <v>2.3201055E7</v>
      </c>
      <c r="B10" s="70">
        <v>0.0</v>
      </c>
      <c r="C10" s="70">
        <v>0.0</v>
      </c>
      <c r="D10" s="70">
        <v>0.0</v>
      </c>
    </row>
    <row r="11">
      <c r="A11" s="70">
        <v>2.3301401E7</v>
      </c>
      <c r="B11" s="70">
        <v>21.28930818</v>
      </c>
      <c r="C11" s="70">
        <v>16.66666667</v>
      </c>
      <c r="D11" s="70">
        <v>4.622641509</v>
      </c>
    </row>
    <row r="12">
      <c r="A12" s="70">
        <v>2.4101043E7</v>
      </c>
      <c r="B12" s="70">
        <v>4.088050314</v>
      </c>
      <c r="C12" s="70">
        <v>3.333333333</v>
      </c>
      <c r="D12" s="70">
        <v>0.7547169811</v>
      </c>
    </row>
    <row r="13">
      <c r="A13" s="70">
        <v>2.4101081E7</v>
      </c>
      <c r="B13" s="70">
        <v>2.830188679</v>
      </c>
      <c r="C13" s="70">
        <v>0.0</v>
      </c>
      <c r="D13" s="70">
        <v>2.830188679</v>
      </c>
    </row>
    <row r="14">
      <c r="A14" s="70">
        <v>2.4101103E7</v>
      </c>
      <c r="B14" s="70">
        <v>3.962264151</v>
      </c>
      <c r="C14" s="70">
        <v>0.0</v>
      </c>
      <c r="D14" s="70">
        <v>3.962264151</v>
      </c>
    </row>
    <row r="15">
      <c r="A15" s="70">
        <v>2.4110031E7</v>
      </c>
      <c r="B15" s="70">
        <v>2.641509434</v>
      </c>
      <c r="C15" s="70">
        <v>0.0</v>
      </c>
      <c r="D15" s="70">
        <v>2.641509434</v>
      </c>
    </row>
    <row r="16">
      <c r="A16" s="70">
        <v>2.420114E7</v>
      </c>
      <c r="B16" s="70">
        <v>14.7672956</v>
      </c>
      <c r="C16" s="70">
        <v>10.33333333</v>
      </c>
      <c r="D16" s="70">
        <v>4.433962264</v>
      </c>
    </row>
    <row r="17">
      <c r="A17" s="70">
        <v>2.4301023E7</v>
      </c>
      <c r="B17" s="70">
        <v>3.773584906</v>
      </c>
      <c r="C17" s="70">
        <v>0.0</v>
      </c>
      <c r="D17" s="70">
        <v>3.773584906</v>
      </c>
    </row>
    <row r="18">
      <c r="A18" s="70">
        <v>2.4301062E7</v>
      </c>
      <c r="B18" s="70">
        <v>18.33333333</v>
      </c>
      <c r="C18" s="70">
        <v>13.33333333</v>
      </c>
      <c r="D18" s="70">
        <v>5.0</v>
      </c>
    </row>
    <row r="19">
      <c r="A19" s="70">
        <v>2.4301066E7</v>
      </c>
      <c r="B19" s="70">
        <v>18.33333333</v>
      </c>
      <c r="C19" s="70">
        <v>13.33333333</v>
      </c>
      <c r="D19" s="70">
        <v>5.0</v>
      </c>
    </row>
    <row r="20">
      <c r="A20" s="70">
        <v>2.4301073E7</v>
      </c>
      <c r="B20" s="70">
        <v>14.33962264</v>
      </c>
      <c r="C20" s="70">
        <v>10.0</v>
      </c>
      <c r="D20" s="70">
        <v>4.339622642</v>
      </c>
    </row>
    <row r="21">
      <c r="A21" s="70">
        <v>2.4301181E7</v>
      </c>
      <c r="B21" s="70">
        <v>5.0</v>
      </c>
      <c r="C21" s="70">
        <v>0.0</v>
      </c>
      <c r="D21" s="70">
        <v>5.0</v>
      </c>
    </row>
    <row r="22">
      <c r="A22" s="70">
        <v>2.4301184E7</v>
      </c>
      <c r="B22" s="70">
        <v>22.0</v>
      </c>
      <c r="C22" s="70">
        <v>17.0</v>
      </c>
      <c r="D22" s="70">
        <v>5.0</v>
      </c>
    </row>
    <row r="23">
      <c r="A23" s="70">
        <v>2.4301192E7</v>
      </c>
      <c r="B23" s="70">
        <v>15.47798742</v>
      </c>
      <c r="C23" s="70">
        <v>10.66666667</v>
      </c>
      <c r="D23" s="70">
        <v>4.811320755</v>
      </c>
    </row>
    <row r="24">
      <c r="A24" s="70">
        <v>2.4301202E7</v>
      </c>
      <c r="B24" s="70">
        <v>17.57861635</v>
      </c>
      <c r="C24" s="70">
        <v>13.33333333</v>
      </c>
      <c r="D24" s="70">
        <v>4.245283019</v>
      </c>
    </row>
    <row r="25">
      <c r="A25" s="70">
        <v>2.4301306E7</v>
      </c>
      <c r="B25" s="70">
        <v>6.779874214</v>
      </c>
      <c r="C25" s="70">
        <v>3.666666667</v>
      </c>
      <c r="D25" s="70">
        <v>3.113207547</v>
      </c>
    </row>
    <row r="26">
      <c r="A26" s="70">
        <v>2.430132E7</v>
      </c>
      <c r="B26" s="70">
        <v>25.0</v>
      </c>
      <c r="C26" s="70">
        <v>20.0</v>
      </c>
      <c r="D26" s="70">
        <v>5.0</v>
      </c>
    </row>
    <row r="27">
      <c r="A27" s="70">
        <v>2.4301321E7</v>
      </c>
      <c r="B27" s="70">
        <v>17.95597484</v>
      </c>
      <c r="C27" s="70">
        <v>13.33333333</v>
      </c>
      <c r="D27" s="70">
        <v>4.622641509</v>
      </c>
    </row>
    <row r="28">
      <c r="A28" s="70">
        <v>2.4301358E7</v>
      </c>
      <c r="B28" s="70">
        <v>7.333333333</v>
      </c>
      <c r="C28" s="70">
        <v>2.333333333</v>
      </c>
      <c r="D28" s="70">
        <v>5.0</v>
      </c>
    </row>
    <row r="29">
      <c r="A29" s="70">
        <v>2.4301367E7</v>
      </c>
      <c r="B29" s="70">
        <v>5.245283019</v>
      </c>
      <c r="C29" s="70">
        <v>1.0</v>
      </c>
      <c r="D29" s="70">
        <v>4.245283019</v>
      </c>
    </row>
    <row r="30">
      <c r="A30" s="70">
        <v>2.4301375E7</v>
      </c>
      <c r="B30" s="70">
        <v>9.333333333</v>
      </c>
      <c r="C30" s="70">
        <v>4.333333333</v>
      </c>
      <c r="D30" s="70">
        <v>5.0</v>
      </c>
    </row>
    <row r="31">
      <c r="A31" s="70">
        <v>2.430142E7</v>
      </c>
      <c r="B31" s="70">
        <v>5.238993711</v>
      </c>
      <c r="C31" s="70">
        <v>0.3333333333</v>
      </c>
      <c r="D31" s="70">
        <v>4.905660377</v>
      </c>
    </row>
    <row r="32">
      <c r="A32" s="70">
        <v>2.4301451E7</v>
      </c>
      <c r="B32" s="70">
        <v>5.0</v>
      </c>
      <c r="C32" s="70">
        <v>0.0</v>
      </c>
      <c r="D32" s="70">
        <v>5.0</v>
      </c>
    </row>
    <row r="33">
      <c r="A33" s="70">
        <v>2.4301484E7</v>
      </c>
      <c r="B33" s="70">
        <v>17.1509434</v>
      </c>
      <c r="C33" s="70">
        <v>13.0</v>
      </c>
      <c r="D33" s="70">
        <v>4.150943396</v>
      </c>
    </row>
    <row r="34">
      <c r="A34" s="70">
        <v>2.4301499E7</v>
      </c>
      <c r="B34" s="70">
        <v>5.0</v>
      </c>
      <c r="C34" s="70">
        <v>0.0</v>
      </c>
      <c r="D34" s="70">
        <v>5.0</v>
      </c>
    </row>
    <row r="35">
      <c r="A35" s="70">
        <v>2.4301519E7</v>
      </c>
      <c r="B35" s="70">
        <v>5.0</v>
      </c>
      <c r="C35" s="70">
        <v>0.0</v>
      </c>
      <c r="D35" s="70">
        <v>5.0</v>
      </c>
    </row>
    <row r="36">
      <c r="A36" s="70">
        <v>2.4301546E7</v>
      </c>
      <c r="B36" s="70">
        <v>3.647798742</v>
      </c>
      <c r="C36" s="70">
        <v>1.666666667</v>
      </c>
      <c r="D36" s="70">
        <v>1.981132075</v>
      </c>
    </row>
    <row r="37">
      <c r="A37" s="70">
        <v>2.431501E7</v>
      </c>
      <c r="B37" s="70">
        <v>10.33333333</v>
      </c>
      <c r="C37" s="70">
        <v>5.333333333</v>
      </c>
      <c r="D37" s="70">
        <v>5.0</v>
      </c>
    </row>
    <row r="38">
      <c r="A38" s="70">
        <v>2.4321222E7</v>
      </c>
      <c r="B38" s="70">
        <v>18.33333333</v>
      </c>
      <c r="C38" s="70">
        <v>13.33333333</v>
      </c>
      <c r="D38" s="70">
        <v>5.0</v>
      </c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.43"/>
    <col customWidth="1" min="2" max="2" width="14.14"/>
    <col customWidth="1" min="3" max="3" width="37.0"/>
    <col customWidth="1" hidden="1" min="4" max="4" width="6.57"/>
    <col customWidth="1" min="5" max="6" width="6.86"/>
    <col customWidth="1" min="7" max="7" width="9.14"/>
    <col customWidth="1" min="8" max="8" width="10.29"/>
    <col customWidth="1" hidden="1" min="9" max="9" width="8.29"/>
    <col customWidth="1" hidden="1" min="10" max="10" width="9.43"/>
    <col customWidth="1" min="11" max="11" width="9.14"/>
    <col customWidth="1" min="12" max="12" width="8.0"/>
    <col customWidth="1" min="13" max="13" width="7.71"/>
    <col customWidth="1" min="14" max="14" width="11.86"/>
    <col customWidth="1" min="15" max="15" width="11.14"/>
    <col customWidth="1" min="16" max="26" width="16.43"/>
  </cols>
  <sheetData>
    <row r="1" ht="12.75" customHeight="1">
      <c r="A1" s="104"/>
      <c r="B1" s="105"/>
      <c r="C1" s="106" t="s">
        <v>80</v>
      </c>
      <c r="D1" s="107"/>
      <c r="E1" s="107"/>
      <c r="F1" s="107"/>
      <c r="G1" s="108"/>
      <c r="H1" s="108"/>
      <c r="I1" s="107"/>
      <c r="J1" s="107"/>
      <c r="K1" s="107"/>
      <c r="L1" s="107"/>
      <c r="M1" s="107"/>
      <c r="N1" s="109"/>
      <c r="O1" s="109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12.75" customHeight="1">
      <c r="A2" s="104"/>
      <c r="B2" s="105"/>
      <c r="C2" s="106" t="s">
        <v>81</v>
      </c>
      <c r="D2" s="107"/>
      <c r="E2" s="108"/>
      <c r="F2" s="108"/>
      <c r="G2" s="107"/>
      <c r="H2" s="107"/>
      <c r="I2" s="107"/>
      <c r="J2" s="107"/>
      <c r="K2" s="107"/>
      <c r="L2" s="107"/>
      <c r="M2" s="107"/>
      <c r="N2" s="107"/>
      <c r="O2" s="107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2.75" customHeight="1">
      <c r="A3" s="104"/>
      <c r="B3" s="105"/>
      <c r="C3" s="106" t="s">
        <v>82</v>
      </c>
      <c r="D3" s="107"/>
      <c r="E3" s="108"/>
      <c r="F3" s="108"/>
      <c r="G3" s="107"/>
      <c r="H3" s="107"/>
      <c r="I3" s="107"/>
      <c r="J3" s="107"/>
      <c r="K3" s="107"/>
      <c r="L3" s="107"/>
      <c r="M3" s="107"/>
      <c r="N3" s="107"/>
      <c r="O3" s="107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2.75" customHeight="1">
      <c r="A4" s="104"/>
      <c r="B4" s="106"/>
      <c r="C4" s="106" t="s">
        <v>83</v>
      </c>
      <c r="D4" s="107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7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2.75" customHeight="1">
      <c r="A5" s="109"/>
      <c r="B5" s="110" t="s">
        <v>84</v>
      </c>
      <c r="C5" s="111" t="s">
        <v>85</v>
      </c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9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2.75" customHeight="1">
      <c r="A6" s="109"/>
      <c r="B6" s="110" t="s">
        <v>86</v>
      </c>
      <c r="C6" s="111" t="s">
        <v>87</v>
      </c>
      <c r="D6" s="109"/>
      <c r="E6" s="109"/>
      <c r="F6" s="109"/>
      <c r="G6" s="108"/>
      <c r="H6" s="108"/>
      <c r="I6" s="108"/>
      <c r="J6" s="108"/>
      <c r="K6" s="108"/>
      <c r="L6" s="108"/>
      <c r="M6" s="108"/>
      <c r="N6" s="108"/>
      <c r="O6" s="109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2.75" customHeight="1">
      <c r="A7" s="109"/>
      <c r="B7" s="110" t="s">
        <v>88</v>
      </c>
      <c r="C7" s="111">
        <v>20.0</v>
      </c>
      <c r="D7" s="109"/>
      <c r="E7" s="109"/>
      <c r="F7" s="109"/>
      <c r="G7" s="108"/>
      <c r="H7" s="108"/>
      <c r="I7" s="108"/>
      <c r="J7" s="108"/>
      <c r="K7" s="108"/>
      <c r="L7" s="108"/>
      <c r="M7" s="108"/>
      <c r="N7" s="108"/>
      <c r="O7" s="109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2.75" customHeight="1">
      <c r="A8" s="109"/>
      <c r="B8" s="110" t="s">
        <v>89</v>
      </c>
      <c r="C8" s="111" t="s">
        <v>90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2.75" customHeight="1">
      <c r="A9" s="112" t="s">
        <v>91</v>
      </c>
      <c r="B9" s="112" t="s">
        <v>92</v>
      </c>
      <c r="C9" s="113" t="s">
        <v>1</v>
      </c>
      <c r="D9" s="113" t="s">
        <v>93</v>
      </c>
      <c r="E9" s="113" t="s">
        <v>94</v>
      </c>
      <c r="F9" s="113" t="s">
        <v>95</v>
      </c>
      <c r="G9" s="113" t="s">
        <v>96</v>
      </c>
      <c r="H9" s="113" t="s">
        <v>97</v>
      </c>
      <c r="I9" s="113" t="s">
        <v>98</v>
      </c>
      <c r="J9" s="113" t="s">
        <v>99</v>
      </c>
      <c r="K9" s="113" t="s">
        <v>100</v>
      </c>
      <c r="L9" s="113" t="s">
        <v>101</v>
      </c>
      <c r="M9" s="113" t="s">
        <v>101</v>
      </c>
      <c r="N9" s="113" t="s">
        <v>102</v>
      </c>
      <c r="O9" s="113" t="s">
        <v>103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0" customHeight="1">
      <c r="A10" s="112"/>
      <c r="B10" s="112"/>
      <c r="C10" s="113"/>
      <c r="D10" s="114">
        <v>0.0</v>
      </c>
      <c r="E10" s="114">
        <v>0.2</v>
      </c>
      <c r="F10" s="114">
        <v>0.05</v>
      </c>
      <c r="G10" s="114">
        <v>0.25</v>
      </c>
      <c r="H10" s="114">
        <v>0.2</v>
      </c>
      <c r="I10" s="114">
        <v>0.0</v>
      </c>
      <c r="J10" s="114">
        <v>0.0</v>
      </c>
      <c r="K10" s="114">
        <v>0.3</v>
      </c>
      <c r="L10" s="115">
        <f>SUM(D10:K10)*100</f>
        <v>100</v>
      </c>
      <c r="M10" s="114">
        <f>SUM(D10:K10)</f>
        <v>1</v>
      </c>
      <c r="N10" s="113" t="s">
        <v>104</v>
      </c>
      <c r="O10" s="113" t="s">
        <v>105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24.0" customHeight="1">
      <c r="A11" s="116">
        <v>1.0</v>
      </c>
      <c r="B11" s="117">
        <f>Worksheet!A3</f>
        <v>22101192</v>
      </c>
      <c r="C11" s="117" t="str">
        <f>Worksheet!B3</f>
        <v>Maliha Anan Promi</v>
      </c>
      <c r="D11" s="118"/>
      <c r="E11" s="118"/>
      <c r="F11" s="118"/>
      <c r="G11" s="118"/>
      <c r="H11" s="118"/>
      <c r="I11" s="118"/>
      <c r="J11" s="118"/>
      <c r="K11" s="118"/>
      <c r="L11" s="119">
        <f t="shared" ref="L11:L42" si="1">SUM(D11:K11)</f>
        <v>0</v>
      </c>
      <c r="M11" s="118">
        <f t="shared" ref="M11:M42" si="2">IF(AND(L11&gt;=96.5,L11&lt;97),L11,ROUND(L11,0))</f>
        <v>0</v>
      </c>
      <c r="N11" s="120" t="str">
        <f t="shared" ref="N11:N42" si="3">IF(M11&lt;65,IF(M11&lt;55,IF(M11&lt;52,IF(M11&lt;50,"F","D-"),"D"),IF(M11&lt;57,"D+",IF(M11&lt;60,"C-","C"))),IF(M11&lt;75,IF(M11&lt;70,"C+","B-"),IF(M11&lt;85,IF(M11&lt;80,"B","B+"),IF(M11&lt;90,"A-",IF(M11&lt;97,"A","A+")))))</f>
        <v>F</v>
      </c>
      <c r="O11" s="120" t="str">
        <f t="shared" ref="O11:O42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PLAIN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24.0" customHeight="1">
      <c r="A12" s="121">
        <v>2.0</v>
      </c>
      <c r="B12" s="117">
        <f>Worksheet!A4</f>
        <v>22101297</v>
      </c>
      <c r="C12" s="117" t="str">
        <f>Worksheet!B4</f>
        <v>Parthib Biswas</v>
      </c>
      <c r="D12" s="119"/>
      <c r="E12" s="119"/>
      <c r="F12" s="119"/>
      <c r="G12" s="119"/>
      <c r="H12" s="119"/>
      <c r="I12" s="119"/>
      <c r="J12" s="119"/>
      <c r="K12" s="119"/>
      <c r="L12" s="119">
        <f t="shared" si="1"/>
        <v>0</v>
      </c>
      <c r="M12" s="118">
        <f t="shared" si="2"/>
        <v>0</v>
      </c>
      <c r="N12" s="120" t="str">
        <f t="shared" si="3"/>
        <v>F</v>
      </c>
      <c r="O12" s="120" t="str">
        <f t="shared" si="4"/>
        <v>PLAIN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24.0" customHeight="1">
      <c r="A13" s="116">
        <v>3.0</v>
      </c>
      <c r="B13" s="117">
        <f>Worksheet!A5</f>
        <v>22201706</v>
      </c>
      <c r="C13" s="117" t="str">
        <f>Worksheet!B5</f>
        <v>Sadnan Basher</v>
      </c>
      <c r="D13" s="119"/>
      <c r="E13" s="119"/>
      <c r="F13" s="119"/>
      <c r="G13" s="119"/>
      <c r="H13" s="119"/>
      <c r="I13" s="119"/>
      <c r="J13" s="119"/>
      <c r="K13" s="119"/>
      <c r="L13" s="119">
        <f t="shared" si="1"/>
        <v>0</v>
      </c>
      <c r="M13" s="118">
        <f t="shared" si="2"/>
        <v>0</v>
      </c>
      <c r="N13" s="120" t="str">
        <f t="shared" si="3"/>
        <v>F</v>
      </c>
      <c r="O13" s="120" t="str">
        <f t="shared" si="4"/>
        <v>PLAIN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24.0" customHeight="1">
      <c r="A14" s="121">
        <v>4.0</v>
      </c>
      <c r="B14" s="117">
        <f>Worksheet!A6</f>
        <v>22301485</v>
      </c>
      <c r="C14" s="117" t="str">
        <f>Worksheet!B6</f>
        <v>Tamal Kumar Dey</v>
      </c>
      <c r="D14" s="119"/>
      <c r="E14" s="119"/>
      <c r="F14" s="119"/>
      <c r="G14" s="119"/>
      <c r="H14" s="119"/>
      <c r="I14" s="119"/>
      <c r="J14" s="119"/>
      <c r="K14" s="119"/>
      <c r="L14" s="119">
        <f t="shared" si="1"/>
        <v>0</v>
      </c>
      <c r="M14" s="118">
        <f t="shared" si="2"/>
        <v>0</v>
      </c>
      <c r="N14" s="120" t="str">
        <f t="shared" si="3"/>
        <v>F</v>
      </c>
      <c r="O14" s="120" t="str">
        <f t="shared" si="4"/>
        <v>PLAIN</v>
      </c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24.0" customHeight="1">
      <c r="A15" s="116">
        <v>5.0</v>
      </c>
      <c r="B15" s="117">
        <f>Worksheet!A7</f>
        <v>22301581</v>
      </c>
      <c r="C15" s="117" t="str">
        <f>Worksheet!B7</f>
        <v>Rufaida Zoon Raiyan</v>
      </c>
      <c r="D15" s="119"/>
      <c r="E15" s="119"/>
      <c r="F15" s="119"/>
      <c r="G15" s="119"/>
      <c r="H15" s="119"/>
      <c r="I15" s="119"/>
      <c r="J15" s="119"/>
      <c r="K15" s="119"/>
      <c r="L15" s="119">
        <f t="shared" si="1"/>
        <v>0</v>
      </c>
      <c r="M15" s="118">
        <f t="shared" si="2"/>
        <v>0</v>
      </c>
      <c r="N15" s="120" t="str">
        <f t="shared" si="3"/>
        <v>F</v>
      </c>
      <c r="O15" s="120" t="str">
        <f t="shared" si="4"/>
        <v>PLAIN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24.0" customHeight="1">
      <c r="A16" s="121">
        <v>6.0</v>
      </c>
      <c r="B16" s="117">
        <f>Worksheet!A8</f>
        <v>23101152</v>
      </c>
      <c r="C16" s="117" t="str">
        <f>Worksheet!B8</f>
        <v>Shihabul Ishraq Tanim</v>
      </c>
      <c r="D16" s="119"/>
      <c r="E16" s="119"/>
      <c r="F16" s="119"/>
      <c r="G16" s="119"/>
      <c r="H16" s="119"/>
      <c r="I16" s="119"/>
      <c r="J16" s="119"/>
      <c r="K16" s="119"/>
      <c r="L16" s="119">
        <f t="shared" si="1"/>
        <v>0</v>
      </c>
      <c r="M16" s="118">
        <f t="shared" si="2"/>
        <v>0</v>
      </c>
      <c r="N16" s="120" t="str">
        <f t="shared" si="3"/>
        <v>F</v>
      </c>
      <c r="O16" s="120" t="str">
        <f t="shared" si="4"/>
        <v>PLAIN</v>
      </c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24.0" customHeight="1">
      <c r="A17" s="116">
        <v>7.0</v>
      </c>
      <c r="B17" s="117">
        <f>Worksheet!A9</f>
        <v>23101196</v>
      </c>
      <c r="C17" s="117" t="str">
        <f>Worksheet!B9</f>
        <v>Nandini Das Jhumu</v>
      </c>
      <c r="D17" s="119"/>
      <c r="E17" s="119"/>
      <c r="F17" s="119"/>
      <c r="G17" s="119"/>
      <c r="H17" s="119"/>
      <c r="I17" s="119"/>
      <c r="J17" s="119"/>
      <c r="K17" s="119"/>
      <c r="L17" s="119">
        <f t="shared" si="1"/>
        <v>0</v>
      </c>
      <c r="M17" s="118">
        <f t="shared" si="2"/>
        <v>0</v>
      </c>
      <c r="N17" s="120" t="str">
        <f t="shared" si="3"/>
        <v>F</v>
      </c>
      <c r="O17" s="120" t="str">
        <f t="shared" si="4"/>
        <v>PLAIN</v>
      </c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24.0" customHeight="1">
      <c r="A18" s="121">
        <v>8.0</v>
      </c>
      <c r="B18" s="117">
        <f>Worksheet!A10</f>
        <v>23201055</v>
      </c>
      <c r="C18" s="117" t="str">
        <f>Worksheet!B10</f>
        <v>Ridwanul Azim</v>
      </c>
      <c r="D18" s="119"/>
      <c r="E18" s="119"/>
      <c r="F18" s="119"/>
      <c r="G18" s="119"/>
      <c r="H18" s="119"/>
      <c r="I18" s="119"/>
      <c r="J18" s="119"/>
      <c r="K18" s="119"/>
      <c r="L18" s="119">
        <f t="shared" si="1"/>
        <v>0</v>
      </c>
      <c r="M18" s="118">
        <f t="shared" si="2"/>
        <v>0</v>
      </c>
      <c r="N18" s="120" t="str">
        <f t="shared" si="3"/>
        <v>F</v>
      </c>
      <c r="O18" s="120" t="str">
        <f t="shared" si="4"/>
        <v>PLAIN</v>
      </c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24.0" customHeight="1">
      <c r="A19" s="116">
        <v>9.0</v>
      </c>
      <c r="B19" s="117">
        <f>Worksheet!A11</f>
        <v>23301401</v>
      </c>
      <c r="C19" s="117" t="str">
        <f>Worksheet!B11</f>
        <v>Saddat Hossain Sifat</v>
      </c>
      <c r="D19" s="119"/>
      <c r="E19" s="119"/>
      <c r="F19" s="119"/>
      <c r="G19" s="119"/>
      <c r="H19" s="119"/>
      <c r="I19" s="119"/>
      <c r="J19" s="119"/>
      <c r="K19" s="119"/>
      <c r="L19" s="119">
        <f t="shared" si="1"/>
        <v>0</v>
      </c>
      <c r="M19" s="118">
        <f t="shared" si="2"/>
        <v>0</v>
      </c>
      <c r="N19" s="120" t="str">
        <f t="shared" si="3"/>
        <v>F</v>
      </c>
      <c r="O19" s="120" t="str">
        <f t="shared" si="4"/>
        <v>PLAIN</v>
      </c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24.0" customHeight="1">
      <c r="A20" s="121">
        <v>10.0</v>
      </c>
      <c r="B20" s="117">
        <f>Worksheet!A12</f>
        <v>24101043</v>
      </c>
      <c r="C20" s="117" t="str">
        <f>Worksheet!B12</f>
        <v>Md Abu Noman Kabbo</v>
      </c>
      <c r="D20" s="119"/>
      <c r="E20" s="119"/>
      <c r="F20" s="119"/>
      <c r="G20" s="119"/>
      <c r="H20" s="119"/>
      <c r="I20" s="119"/>
      <c r="J20" s="119"/>
      <c r="K20" s="119"/>
      <c r="L20" s="119">
        <f t="shared" si="1"/>
        <v>0</v>
      </c>
      <c r="M20" s="118">
        <f t="shared" si="2"/>
        <v>0</v>
      </c>
      <c r="N20" s="120" t="str">
        <f t="shared" si="3"/>
        <v>F</v>
      </c>
      <c r="O20" s="120" t="str">
        <f t="shared" si="4"/>
        <v>PLAIN</v>
      </c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24.0" customHeight="1">
      <c r="A21" s="116">
        <v>11.0</v>
      </c>
      <c r="B21" s="117">
        <f>Worksheet!A13</f>
        <v>24101081</v>
      </c>
      <c r="C21" s="117" t="str">
        <f>Worksheet!B13</f>
        <v>Adil Abdullah Mahdi</v>
      </c>
      <c r="D21" s="119"/>
      <c r="E21" s="119"/>
      <c r="F21" s="119"/>
      <c r="G21" s="119"/>
      <c r="H21" s="119"/>
      <c r="I21" s="119"/>
      <c r="J21" s="119"/>
      <c r="K21" s="119"/>
      <c r="L21" s="119">
        <f t="shared" si="1"/>
        <v>0</v>
      </c>
      <c r="M21" s="118">
        <f t="shared" si="2"/>
        <v>0</v>
      </c>
      <c r="N21" s="120" t="str">
        <f t="shared" si="3"/>
        <v>F</v>
      </c>
      <c r="O21" s="120" t="str">
        <f t="shared" si="4"/>
        <v>PLAIN</v>
      </c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24.0" customHeight="1">
      <c r="A22" s="121">
        <v>12.0</v>
      </c>
      <c r="B22" s="117">
        <f>Worksheet!A14</f>
        <v>24101103</v>
      </c>
      <c r="C22" s="117" t="str">
        <f>Worksheet!B14</f>
        <v>Zunayed Amin</v>
      </c>
      <c r="D22" s="119"/>
      <c r="E22" s="119"/>
      <c r="F22" s="119"/>
      <c r="G22" s="119"/>
      <c r="H22" s="119"/>
      <c r="I22" s="119"/>
      <c r="J22" s="119"/>
      <c r="K22" s="119"/>
      <c r="L22" s="119">
        <f t="shared" si="1"/>
        <v>0</v>
      </c>
      <c r="M22" s="118">
        <f t="shared" si="2"/>
        <v>0</v>
      </c>
      <c r="N22" s="120" t="str">
        <f t="shared" si="3"/>
        <v>F</v>
      </c>
      <c r="O22" s="120" t="str">
        <f t="shared" si="4"/>
        <v>PLAIN</v>
      </c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24.0" customHeight="1">
      <c r="A23" s="116">
        <v>13.0</v>
      </c>
      <c r="B23" s="117">
        <f>Worksheet!A15</f>
        <v>24110031</v>
      </c>
      <c r="C23" s="117" t="str">
        <f>Worksheet!B15</f>
        <v>Sm Mostofa Morshed Sayeem</v>
      </c>
      <c r="D23" s="119"/>
      <c r="E23" s="119"/>
      <c r="F23" s="119"/>
      <c r="G23" s="119"/>
      <c r="H23" s="119"/>
      <c r="I23" s="119"/>
      <c r="J23" s="119"/>
      <c r="K23" s="119"/>
      <c r="L23" s="119">
        <f t="shared" si="1"/>
        <v>0</v>
      </c>
      <c r="M23" s="118">
        <f t="shared" si="2"/>
        <v>0</v>
      </c>
      <c r="N23" s="120" t="str">
        <f t="shared" si="3"/>
        <v>F</v>
      </c>
      <c r="O23" s="120" t="str">
        <f t="shared" si="4"/>
        <v>PLAIN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24.0" customHeight="1">
      <c r="A24" s="121">
        <v>14.0</v>
      </c>
      <c r="B24" s="117">
        <f>Worksheet!A16</f>
        <v>24201140</v>
      </c>
      <c r="C24" s="117" t="str">
        <f>Worksheet!B16</f>
        <v>Mehrab Rashid Mugdha</v>
      </c>
      <c r="D24" s="119"/>
      <c r="E24" s="119"/>
      <c r="F24" s="119"/>
      <c r="G24" s="119"/>
      <c r="H24" s="119"/>
      <c r="I24" s="119"/>
      <c r="J24" s="119"/>
      <c r="K24" s="119"/>
      <c r="L24" s="119">
        <f t="shared" si="1"/>
        <v>0</v>
      </c>
      <c r="M24" s="118">
        <f t="shared" si="2"/>
        <v>0</v>
      </c>
      <c r="N24" s="120" t="str">
        <f t="shared" si="3"/>
        <v>F</v>
      </c>
      <c r="O24" s="120" t="str">
        <f t="shared" si="4"/>
        <v>PLAIN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24.0" customHeight="1">
      <c r="A25" s="116">
        <v>15.0</v>
      </c>
      <c r="B25" s="117">
        <f>Worksheet!A17</f>
        <v>24301023</v>
      </c>
      <c r="C25" s="117" t="str">
        <f>Worksheet!B17</f>
        <v>Md Muhtasim Chowdhury</v>
      </c>
      <c r="D25" s="119"/>
      <c r="E25" s="119"/>
      <c r="F25" s="119"/>
      <c r="G25" s="119"/>
      <c r="H25" s="119"/>
      <c r="I25" s="119"/>
      <c r="J25" s="119"/>
      <c r="K25" s="119"/>
      <c r="L25" s="119">
        <f t="shared" si="1"/>
        <v>0</v>
      </c>
      <c r="M25" s="118">
        <f t="shared" si="2"/>
        <v>0</v>
      </c>
      <c r="N25" s="120" t="str">
        <f t="shared" si="3"/>
        <v>F</v>
      </c>
      <c r="O25" s="120" t="str">
        <f t="shared" si="4"/>
        <v>PLAIN</v>
      </c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21.75" customHeight="1">
      <c r="A26" s="121">
        <v>16.0</v>
      </c>
      <c r="B26" s="117">
        <f>Worksheet!A18</f>
        <v>24301062</v>
      </c>
      <c r="C26" s="117" t="str">
        <f>Worksheet!B18</f>
        <v>Tahseen Zaman</v>
      </c>
      <c r="D26" s="119"/>
      <c r="E26" s="119"/>
      <c r="F26" s="119"/>
      <c r="G26" s="119"/>
      <c r="H26" s="119"/>
      <c r="I26" s="119"/>
      <c r="J26" s="119"/>
      <c r="K26" s="119"/>
      <c r="L26" s="119">
        <f t="shared" si="1"/>
        <v>0</v>
      </c>
      <c r="M26" s="118">
        <f t="shared" si="2"/>
        <v>0</v>
      </c>
      <c r="N26" s="120" t="str">
        <f t="shared" si="3"/>
        <v>F</v>
      </c>
      <c r="O26" s="120" t="str">
        <f t="shared" si="4"/>
        <v>PLAIN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21.75" customHeight="1">
      <c r="A27" s="116">
        <v>17.0</v>
      </c>
      <c r="B27" s="117">
        <f>Worksheet!A19</f>
        <v>24301066</v>
      </c>
      <c r="C27" s="117" t="str">
        <f>Worksheet!B19</f>
        <v>Lamia Iqbal</v>
      </c>
      <c r="D27" s="119"/>
      <c r="E27" s="119"/>
      <c r="F27" s="119"/>
      <c r="G27" s="119"/>
      <c r="H27" s="119"/>
      <c r="I27" s="119"/>
      <c r="J27" s="119"/>
      <c r="K27" s="119"/>
      <c r="L27" s="119">
        <f t="shared" si="1"/>
        <v>0</v>
      </c>
      <c r="M27" s="118">
        <f t="shared" si="2"/>
        <v>0</v>
      </c>
      <c r="N27" s="120" t="str">
        <f t="shared" si="3"/>
        <v>F</v>
      </c>
      <c r="O27" s="120" t="str">
        <f t="shared" si="4"/>
        <v>PLAIN</v>
      </c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21.75" customHeight="1">
      <c r="A28" s="121">
        <v>18.0</v>
      </c>
      <c r="B28" s="117">
        <f>Worksheet!A20</f>
        <v>24301073</v>
      </c>
      <c r="C28" s="117" t="str">
        <f>Worksheet!B20</f>
        <v>Rafid Bin Nasir</v>
      </c>
      <c r="D28" s="119"/>
      <c r="E28" s="119"/>
      <c r="F28" s="119"/>
      <c r="G28" s="119"/>
      <c r="H28" s="119"/>
      <c r="I28" s="119"/>
      <c r="J28" s="119"/>
      <c r="K28" s="119"/>
      <c r="L28" s="119">
        <f t="shared" si="1"/>
        <v>0</v>
      </c>
      <c r="M28" s="118">
        <f t="shared" si="2"/>
        <v>0</v>
      </c>
      <c r="N28" s="120" t="str">
        <f t="shared" si="3"/>
        <v>F</v>
      </c>
      <c r="O28" s="120" t="str">
        <f t="shared" si="4"/>
        <v>PLAIN</v>
      </c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21.75" customHeight="1">
      <c r="A29" s="116">
        <v>19.0</v>
      </c>
      <c r="B29" s="117">
        <f>Worksheet!A21</f>
        <v>24301181</v>
      </c>
      <c r="C29" s="117" t="str">
        <f>Worksheet!B21</f>
        <v>Md Mahi Hyder</v>
      </c>
      <c r="D29" s="119"/>
      <c r="E29" s="119"/>
      <c r="F29" s="119"/>
      <c r="G29" s="119"/>
      <c r="H29" s="119"/>
      <c r="I29" s="119"/>
      <c r="J29" s="119"/>
      <c r="K29" s="119"/>
      <c r="L29" s="119">
        <f t="shared" si="1"/>
        <v>0</v>
      </c>
      <c r="M29" s="118">
        <f t="shared" si="2"/>
        <v>0</v>
      </c>
      <c r="N29" s="120" t="str">
        <f t="shared" si="3"/>
        <v>F</v>
      </c>
      <c r="O29" s="120" t="str">
        <f t="shared" si="4"/>
        <v>PLAIN</v>
      </c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21.75" customHeight="1">
      <c r="A30" s="121">
        <v>20.0</v>
      </c>
      <c r="B30" s="117">
        <f>Worksheet!A22</f>
        <v>24301184</v>
      </c>
      <c r="C30" s="117" t="str">
        <f>Worksheet!B22</f>
        <v>Md. Abrar Faiyaz</v>
      </c>
      <c r="D30" s="119"/>
      <c r="E30" s="119"/>
      <c r="F30" s="119"/>
      <c r="G30" s="119"/>
      <c r="H30" s="119"/>
      <c r="I30" s="119"/>
      <c r="J30" s="119"/>
      <c r="K30" s="119"/>
      <c r="L30" s="119">
        <f t="shared" si="1"/>
        <v>0</v>
      </c>
      <c r="M30" s="118">
        <f t="shared" si="2"/>
        <v>0</v>
      </c>
      <c r="N30" s="120" t="str">
        <f t="shared" si="3"/>
        <v>F</v>
      </c>
      <c r="O30" s="120" t="str">
        <f t="shared" si="4"/>
        <v>PLAIN</v>
      </c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21.75" customHeight="1">
      <c r="A31" s="116">
        <v>21.0</v>
      </c>
      <c r="B31" s="117">
        <f>Worksheet!A23</f>
        <v>24301192</v>
      </c>
      <c r="C31" s="117" t="str">
        <f>Worksheet!B23</f>
        <v>Mashfiqur Rahman Khan</v>
      </c>
      <c r="D31" s="119"/>
      <c r="E31" s="119"/>
      <c r="F31" s="119"/>
      <c r="G31" s="119"/>
      <c r="H31" s="119"/>
      <c r="I31" s="119"/>
      <c r="J31" s="119"/>
      <c r="K31" s="119"/>
      <c r="L31" s="119">
        <f t="shared" si="1"/>
        <v>0</v>
      </c>
      <c r="M31" s="118">
        <f t="shared" si="2"/>
        <v>0</v>
      </c>
      <c r="N31" s="120" t="str">
        <f t="shared" si="3"/>
        <v>F</v>
      </c>
      <c r="O31" s="120" t="str">
        <f t="shared" si="4"/>
        <v>PLAIN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21.75" customHeight="1">
      <c r="A32" s="121">
        <v>22.0</v>
      </c>
      <c r="B32" s="117">
        <f>Worksheet!A24</f>
        <v>24301202</v>
      </c>
      <c r="C32" s="117" t="str">
        <f>Worksheet!B24</f>
        <v>Dibyo Singho Barua Subrajit</v>
      </c>
      <c r="D32" s="119"/>
      <c r="E32" s="119"/>
      <c r="F32" s="119"/>
      <c r="G32" s="119"/>
      <c r="H32" s="119"/>
      <c r="I32" s="119"/>
      <c r="J32" s="119"/>
      <c r="K32" s="119"/>
      <c r="L32" s="119">
        <f t="shared" si="1"/>
        <v>0</v>
      </c>
      <c r="M32" s="118">
        <f t="shared" si="2"/>
        <v>0</v>
      </c>
      <c r="N32" s="120" t="str">
        <f t="shared" si="3"/>
        <v>F</v>
      </c>
      <c r="O32" s="120" t="str">
        <f t="shared" si="4"/>
        <v>PLAIN</v>
      </c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21.75" customHeight="1">
      <c r="A33" s="116">
        <v>23.0</v>
      </c>
      <c r="B33" s="117">
        <f>Worksheet!A25</f>
        <v>24301306</v>
      </c>
      <c r="C33" s="117" t="str">
        <f>Worksheet!B25</f>
        <v>Md Fahmudur Rahman Fahim</v>
      </c>
      <c r="D33" s="119"/>
      <c r="E33" s="119"/>
      <c r="F33" s="119"/>
      <c r="G33" s="119"/>
      <c r="H33" s="119"/>
      <c r="I33" s="119"/>
      <c r="J33" s="119"/>
      <c r="K33" s="119"/>
      <c r="L33" s="119">
        <f t="shared" si="1"/>
        <v>0</v>
      </c>
      <c r="M33" s="118">
        <f t="shared" si="2"/>
        <v>0</v>
      </c>
      <c r="N33" s="120" t="str">
        <f t="shared" si="3"/>
        <v>F</v>
      </c>
      <c r="O33" s="120" t="str">
        <f t="shared" si="4"/>
        <v>PLAIN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21.75" customHeight="1">
      <c r="A34" s="121">
        <v>24.0</v>
      </c>
      <c r="B34" s="117">
        <f>Worksheet!A26</f>
        <v>24301320</v>
      </c>
      <c r="C34" s="117" t="str">
        <f>Worksheet!B26</f>
        <v>Md Rafi Hasan</v>
      </c>
      <c r="D34" s="119"/>
      <c r="E34" s="119"/>
      <c r="F34" s="119"/>
      <c r="G34" s="119"/>
      <c r="H34" s="119"/>
      <c r="I34" s="119"/>
      <c r="J34" s="119"/>
      <c r="K34" s="119"/>
      <c r="L34" s="119">
        <f t="shared" si="1"/>
        <v>0</v>
      </c>
      <c r="M34" s="118">
        <f t="shared" si="2"/>
        <v>0</v>
      </c>
      <c r="N34" s="120" t="str">
        <f t="shared" si="3"/>
        <v>F</v>
      </c>
      <c r="O34" s="120" t="str">
        <f t="shared" si="4"/>
        <v>PLAIN</v>
      </c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21.75" customHeight="1">
      <c r="A35" s="116">
        <v>25.0</v>
      </c>
      <c r="B35" s="117">
        <f>Worksheet!A27</f>
        <v>24301321</v>
      </c>
      <c r="C35" s="117" t="str">
        <f>Worksheet!B27</f>
        <v>Nazif Ahmed Khan</v>
      </c>
      <c r="D35" s="119"/>
      <c r="E35" s="119"/>
      <c r="F35" s="119"/>
      <c r="G35" s="119"/>
      <c r="H35" s="119"/>
      <c r="I35" s="119"/>
      <c r="J35" s="119"/>
      <c r="K35" s="119"/>
      <c r="L35" s="119">
        <f t="shared" si="1"/>
        <v>0</v>
      </c>
      <c r="M35" s="118">
        <f t="shared" si="2"/>
        <v>0</v>
      </c>
      <c r="N35" s="120" t="str">
        <f t="shared" si="3"/>
        <v>F</v>
      </c>
      <c r="O35" s="120" t="str">
        <f t="shared" si="4"/>
        <v>PLAIN</v>
      </c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21.75" customHeight="1">
      <c r="A36" s="121">
        <v>26.0</v>
      </c>
      <c r="B36" s="117">
        <f>Worksheet!A28</f>
        <v>24301358</v>
      </c>
      <c r="C36" s="117" t="str">
        <f>Worksheet!B28</f>
        <v>Multazim Nazifa</v>
      </c>
      <c r="D36" s="119"/>
      <c r="E36" s="119"/>
      <c r="F36" s="119"/>
      <c r="G36" s="119"/>
      <c r="H36" s="119"/>
      <c r="I36" s="119"/>
      <c r="J36" s="119"/>
      <c r="K36" s="119"/>
      <c r="L36" s="119">
        <f t="shared" si="1"/>
        <v>0</v>
      </c>
      <c r="M36" s="118">
        <f t="shared" si="2"/>
        <v>0</v>
      </c>
      <c r="N36" s="120" t="str">
        <f t="shared" si="3"/>
        <v>F</v>
      </c>
      <c r="O36" s="120" t="str">
        <f t="shared" si="4"/>
        <v>PLAIN</v>
      </c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21.75" customHeight="1">
      <c r="A37" s="116">
        <v>27.0</v>
      </c>
      <c r="B37" s="117">
        <f>Worksheet!A29</f>
        <v>24301367</v>
      </c>
      <c r="C37" s="117" t="str">
        <f>Worksheet!B29</f>
        <v>Wazed Alam Wafi</v>
      </c>
      <c r="D37" s="119"/>
      <c r="E37" s="119"/>
      <c r="F37" s="119"/>
      <c r="G37" s="119"/>
      <c r="H37" s="119"/>
      <c r="I37" s="119"/>
      <c r="J37" s="119"/>
      <c r="K37" s="119"/>
      <c r="L37" s="119">
        <f t="shared" si="1"/>
        <v>0</v>
      </c>
      <c r="M37" s="118">
        <f t="shared" si="2"/>
        <v>0</v>
      </c>
      <c r="N37" s="120" t="str">
        <f t="shared" si="3"/>
        <v>F</v>
      </c>
      <c r="O37" s="120" t="str">
        <f t="shared" si="4"/>
        <v>PLAIN</v>
      </c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21.75" customHeight="1">
      <c r="A38" s="121">
        <v>28.0</v>
      </c>
      <c r="B38" s="117">
        <f>Worksheet!A30</f>
        <v>24301375</v>
      </c>
      <c r="C38" s="117" t="str">
        <f>Worksheet!B30</f>
        <v>Mohammad Riham Alam</v>
      </c>
      <c r="D38" s="119"/>
      <c r="E38" s="119"/>
      <c r="F38" s="119"/>
      <c r="G38" s="119"/>
      <c r="H38" s="119"/>
      <c r="I38" s="119"/>
      <c r="J38" s="119"/>
      <c r="K38" s="119"/>
      <c r="L38" s="119">
        <f t="shared" si="1"/>
        <v>0</v>
      </c>
      <c r="M38" s="118">
        <f t="shared" si="2"/>
        <v>0</v>
      </c>
      <c r="N38" s="120" t="str">
        <f t="shared" si="3"/>
        <v>F</v>
      </c>
      <c r="O38" s="120" t="str">
        <f t="shared" si="4"/>
        <v>PLAIN</v>
      </c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21.75" customHeight="1">
      <c r="A39" s="116">
        <v>29.0</v>
      </c>
      <c r="B39" s="117">
        <f>Worksheet!A31</f>
        <v>24301420</v>
      </c>
      <c r="C39" s="117" t="str">
        <f>Worksheet!B31</f>
        <v>Aronno Bless Rebeiro</v>
      </c>
      <c r="D39" s="119"/>
      <c r="E39" s="119"/>
      <c r="F39" s="119"/>
      <c r="G39" s="119"/>
      <c r="H39" s="119"/>
      <c r="I39" s="119"/>
      <c r="J39" s="119"/>
      <c r="K39" s="119"/>
      <c r="L39" s="119">
        <f t="shared" si="1"/>
        <v>0</v>
      </c>
      <c r="M39" s="118">
        <f t="shared" si="2"/>
        <v>0</v>
      </c>
      <c r="N39" s="120" t="str">
        <f t="shared" si="3"/>
        <v>F</v>
      </c>
      <c r="O39" s="120" t="str">
        <f t="shared" si="4"/>
        <v>PLAIN</v>
      </c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21.75" customHeight="1">
      <c r="A40" s="121">
        <v>30.0</v>
      </c>
      <c r="B40" s="117">
        <f>Worksheet!A32</f>
        <v>24301451</v>
      </c>
      <c r="C40" s="117" t="str">
        <f>Worksheet!B32</f>
        <v>Sampurna Dey</v>
      </c>
      <c r="D40" s="119"/>
      <c r="E40" s="119"/>
      <c r="F40" s="119"/>
      <c r="G40" s="119"/>
      <c r="H40" s="119"/>
      <c r="I40" s="119"/>
      <c r="J40" s="119"/>
      <c r="K40" s="119"/>
      <c r="L40" s="119">
        <f t="shared" si="1"/>
        <v>0</v>
      </c>
      <c r="M40" s="118">
        <f t="shared" si="2"/>
        <v>0</v>
      </c>
      <c r="N40" s="120" t="str">
        <f t="shared" si="3"/>
        <v>F</v>
      </c>
      <c r="O40" s="120" t="str">
        <f t="shared" si="4"/>
        <v>PLAIN</v>
      </c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21.75" customHeight="1">
      <c r="A41" s="116">
        <v>31.0</v>
      </c>
      <c r="B41" s="117">
        <f>Worksheet!A33</f>
        <v>24301484</v>
      </c>
      <c r="C41" s="117" t="str">
        <f>Worksheet!B33</f>
        <v>Md. Iftekhar Haque Iftee</v>
      </c>
      <c r="D41" s="119"/>
      <c r="E41" s="119"/>
      <c r="F41" s="119"/>
      <c r="G41" s="119"/>
      <c r="H41" s="119"/>
      <c r="I41" s="119"/>
      <c r="J41" s="119"/>
      <c r="K41" s="119"/>
      <c r="L41" s="119">
        <f t="shared" si="1"/>
        <v>0</v>
      </c>
      <c r="M41" s="118">
        <f t="shared" si="2"/>
        <v>0</v>
      </c>
      <c r="N41" s="120" t="str">
        <f t="shared" si="3"/>
        <v>F</v>
      </c>
      <c r="O41" s="120" t="str">
        <f t="shared" si="4"/>
        <v>PLAIN</v>
      </c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21.75" customHeight="1">
      <c r="A42" s="121">
        <v>32.0</v>
      </c>
      <c r="B42" s="117">
        <f>Worksheet!A34</f>
        <v>24301499</v>
      </c>
      <c r="C42" s="117" t="str">
        <f>Worksheet!B34</f>
        <v>Zarifah Morshed Nuren</v>
      </c>
      <c r="D42" s="122"/>
      <c r="E42" s="122"/>
      <c r="F42" s="122"/>
      <c r="G42" s="122"/>
      <c r="H42" s="122"/>
      <c r="I42" s="122"/>
      <c r="J42" s="122"/>
      <c r="K42" s="122"/>
      <c r="L42" s="122">
        <f t="shared" si="1"/>
        <v>0</v>
      </c>
      <c r="M42" s="123">
        <f t="shared" si="2"/>
        <v>0</v>
      </c>
      <c r="N42" s="124" t="str">
        <f t="shared" si="3"/>
        <v>F</v>
      </c>
      <c r="O42" s="124" t="str">
        <f t="shared" si="4"/>
        <v>PLAIN</v>
      </c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21.75" customHeight="1">
      <c r="A43" s="116">
        <v>33.0</v>
      </c>
      <c r="B43" s="117">
        <f>Worksheet!A35</f>
        <v>24301519</v>
      </c>
      <c r="C43" s="117" t="str">
        <f>Worksheet!B35</f>
        <v>Monira Mehjabeen Eva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6"/>
      <c r="O43" s="126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21.75" customHeight="1">
      <c r="A44" s="121">
        <v>34.0</v>
      </c>
      <c r="B44" s="117">
        <f>Worksheet!A36</f>
        <v>24301546</v>
      </c>
      <c r="C44" s="117" t="str">
        <f>Worksheet!B36</f>
        <v>Manjurul Ahsan Hemel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8"/>
      <c r="O44" s="12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21.75" customHeight="1">
      <c r="A45" s="116">
        <v>35.0</v>
      </c>
      <c r="B45" s="129">
        <f>Worksheet!A37</f>
        <v>24315010</v>
      </c>
      <c r="C45" s="129" t="str">
        <f>Worksheet!B37</f>
        <v>Saadat Khan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12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21.75" customHeight="1">
      <c r="A46" s="116">
        <v>36.0</v>
      </c>
      <c r="B46" s="130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8"/>
      <c r="O46" s="12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21.75" customHeight="1">
      <c r="A47" s="127"/>
      <c r="B47" s="130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8"/>
      <c r="O47" s="12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21.75" customHeight="1">
      <c r="A48" s="127"/>
      <c r="B48" s="130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8"/>
      <c r="O48" s="12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21.75" customHeight="1">
      <c r="A49" s="127"/>
      <c r="B49" s="130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8"/>
      <c r="O49" s="12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21.75" customHeight="1">
      <c r="A50" s="127"/>
      <c r="B50" s="130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8"/>
      <c r="O50" s="12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21.75" customHeight="1">
      <c r="A51" s="127"/>
      <c r="B51" s="130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8"/>
      <c r="O51" s="12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21.75" customHeight="1">
      <c r="A52" s="127"/>
      <c r="B52" s="130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8"/>
      <c r="O52" s="12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21.75" customHeight="1">
      <c r="A53" s="127"/>
      <c r="B53" s="130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8"/>
      <c r="O53" s="12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21.75" customHeight="1">
      <c r="A54" s="127"/>
      <c r="B54" s="130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8"/>
      <c r="O54" s="12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21.75" customHeight="1">
      <c r="A55" s="127"/>
      <c r="B55" s="130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8"/>
      <c r="O55" s="12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21.75" customHeight="1">
      <c r="A56" s="127"/>
      <c r="B56" s="130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8"/>
      <c r="O56" s="12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21.75" customHeight="1">
      <c r="A57" s="127"/>
      <c r="B57" s="130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8"/>
      <c r="O57" s="12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21.75" customHeight="1">
      <c r="A58" s="127"/>
      <c r="B58" s="130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8"/>
      <c r="O58" s="12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21.75" customHeight="1">
      <c r="A59" s="127"/>
      <c r="B59" s="130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8"/>
      <c r="O59" s="12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21.75" customHeight="1">
      <c r="A60" s="127"/>
      <c r="B60" s="130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8"/>
      <c r="O60" s="12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21.75" customHeight="1">
      <c r="A61" s="127"/>
      <c r="B61" s="130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8"/>
      <c r="O61" s="12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21.75" customHeight="1">
      <c r="A62" s="127"/>
      <c r="B62" s="130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8"/>
      <c r="O62" s="12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21.75" customHeight="1">
      <c r="A63" s="127"/>
      <c r="B63" s="130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8"/>
      <c r="O63" s="12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21.75" customHeight="1">
      <c r="A64" s="127"/>
      <c r="B64" s="130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8"/>
      <c r="O64" s="12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21.75" customHeight="1">
      <c r="A65" s="127"/>
      <c r="B65" s="130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8"/>
      <c r="O65" s="12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21.75" customHeight="1">
      <c r="A66" s="127"/>
      <c r="B66" s="130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8"/>
      <c r="O66" s="12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21.75" customHeight="1">
      <c r="A67" s="127"/>
      <c r="B67" s="131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8"/>
      <c r="O67" s="12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21.75" customHeight="1">
      <c r="A68" s="127"/>
      <c r="B68" s="131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8"/>
      <c r="O68" s="12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21.75" customHeight="1">
      <c r="A69" s="127"/>
      <c r="B69" s="130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8"/>
      <c r="O69" s="12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21.75" customHeight="1">
      <c r="A70" s="12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27"/>
      <c r="M70" s="127"/>
      <c r="N70" s="128"/>
      <c r="O70" s="12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24.0" customHeight="1">
      <c r="A71" s="108"/>
      <c r="B71" s="132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24.0" customHeight="1">
      <c r="A72" s="108"/>
      <c r="B72" s="132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2.75" customHeight="1">
      <c r="A73" s="108"/>
      <c r="B73" s="132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2.75" customHeight="1">
      <c r="A74" s="108"/>
      <c r="B74" s="132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2.75" customHeight="1">
      <c r="A75" s="108"/>
      <c r="B75" s="132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2.75" customHeight="1">
      <c r="A76" s="108"/>
      <c r="B76" s="132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2.75" customHeight="1">
      <c r="A77" s="108"/>
      <c r="B77" s="132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2.75" customHeight="1">
      <c r="A78" s="108"/>
      <c r="B78" s="132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2.75" customHeight="1">
      <c r="A79" s="108"/>
      <c r="B79" s="132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2.75" customHeight="1">
      <c r="A80" s="108"/>
      <c r="B80" s="132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2.75" customHeight="1">
      <c r="A81" s="108"/>
      <c r="B81" s="132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2.75" customHeight="1">
      <c r="A82" s="108"/>
      <c r="B82" s="132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2.75" customHeight="1">
      <c r="A83" s="108"/>
      <c r="B83" s="132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2.75" customHeight="1">
      <c r="A84" s="108"/>
      <c r="B84" s="132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2.75" customHeight="1">
      <c r="A85" s="108"/>
      <c r="B85" s="132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2.75" customHeight="1">
      <c r="A86" s="108"/>
      <c r="B86" s="132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2.75" customHeight="1">
      <c r="A87" s="108"/>
      <c r="B87" s="132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2.75" customHeight="1">
      <c r="A88" s="108"/>
      <c r="B88" s="132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2.75" customHeight="1">
      <c r="A89" s="108"/>
      <c r="B89" s="132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2.75" customHeight="1">
      <c r="A90" s="108"/>
      <c r="B90" s="132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2.75" customHeight="1">
      <c r="A91" s="108"/>
      <c r="B91" s="132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2.75" customHeight="1">
      <c r="A92" s="108"/>
      <c r="B92" s="132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2.75" customHeight="1">
      <c r="A93" s="108"/>
      <c r="B93" s="132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2.75" customHeight="1">
      <c r="A94" s="108"/>
      <c r="B94" s="132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2.75" customHeight="1">
      <c r="A95" s="108"/>
      <c r="B95" s="132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2.75" customHeight="1">
      <c r="A96" s="108"/>
      <c r="B96" s="132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2.75" customHeight="1">
      <c r="A97" s="108"/>
      <c r="B97" s="132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2.75" customHeight="1">
      <c r="A98" s="108"/>
      <c r="B98" s="132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2.75" customHeight="1">
      <c r="A99" s="108"/>
      <c r="B99" s="132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2.75" customHeight="1">
      <c r="A100" s="108"/>
      <c r="B100" s="132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2.75" customHeight="1">
      <c r="A101" s="108"/>
      <c r="B101" s="132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2.75" customHeight="1">
      <c r="A102" s="108"/>
      <c r="B102" s="132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2.75" customHeight="1">
      <c r="A103" s="108"/>
      <c r="B103" s="132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2.75" customHeight="1">
      <c r="A104" s="108"/>
      <c r="B104" s="132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2.75" customHeight="1">
      <c r="A105" s="108"/>
      <c r="B105" s="132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2.75" customHeight="1">
      <c r="A106" s="108"/>
      <c r="B106" s="132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2.75" customHeight="1">
      <c r="A107" s="108"/>
      <c r="B107" s="132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2.75" customHeight="1">
      <c r="A108" s="108"/>
      <c r="B108" s="132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2.75" customHeight="1">
      <c r="A109" s="108"/>
      <c r="B109" s="132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2.75" customHeight="1">
      <c r="A110" s="108"/>
      <c r="B110" s="132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2.75" customHeight="1">
      <c r="A111" s="108"/>
      <c r="B111" s="132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2.75" customHeight="1">
      <c r="A112" s="108"/>
      <c r="B112" s="132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2.75" customHeight="1">
      <c r="A113" s="108"/>
      <c r="B113" s="132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2.75" customHeight="1">
      <c r="A114" s="108"/>
      <c r="B114" s="132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2.75" customHeight="1">
      <c r="A115" s="108"/>
      <c r="B115" s="132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2.75" customHeight="1">
      <c r="A116" s="108"/>
      <c r="B116" s="132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2.75" customHeight="1">
      <c r="A117" s="108"/>
      <c r="B117" s="132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2.75" customHeight="1">
      <c r="A118" s="108"/>
      <c r="B118" s="132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2.75" customHeight="1">
      <c r="A119" s="108"/>
      <c r="B119" s="132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2.75" customHeight="1">
      <c r="A120" s="108"/>
      <c r="B120" s="132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2.75" customHeight="1">
      <c r="A121" s="108"/>
      <c r="B121" s="132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2.75" customHeight="1">
      <c r="A122" s="108"/>
      <c r="B122" s="132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2.75" customHeight="1">
      <c r="A123" s="108"/>
      <c r="B123" s="132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2.75" customHeight="1">
      <c r="A124" s="108"/>
      <c r="B124" s="132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2.75" customHeight="1">
      <c r="A125" s="108"/>
      <c r="B125" s="132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2.75" customHeight="1">
      <c r="A126" s="108"/>
      <c r="B126" s="132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2.75" customHeight="1">
      <c r="A127" s="108"/>
      <c r="B127" s="132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2.75" customHeight="1">
      <c r="A128" s="108"/>
      <c r="B128" s="132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2.75" customHeight="1">
      <c r="A129" s="108"/>
      <c r="B129" s="132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2.75" customHeight="1">
      <c r="A130" s="108"/>
      <c r="B130" s="132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2.75" customHeight="1">
      <c r="A131" s="108"/>
      <c r="B131" s="132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2.75" customHeight="1">
      <c r="A132" s="108"/>
      <c r="B132" s="132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2.75" customHeight="1">
      <c r="A133" s="108"/>
      <c r="B133" s="132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2.75" customHeight="1">
      <c r="A134" s="108"/>
      <c r="B134" s="132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2.75" customHeight="1">
      <c r="A135" s="108"/>
      <c r="B135" s="132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2.75" customHeight="1">
      <c r="A136" s="108"/>
      <c r="B136" s="132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2.75" customHeight="1">
      <c r="A137" s="108"/>
      <c r="B137" s="132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2.75" customHeight="1">
      <c r="A138" s="108"/>
      <c r="B138" s="132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2.75" customHeight="1">
      <c r="A139" s="108"/>
      <c r="B139" s="132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2.75" customHeight="1">
      <c r="A140" s="108"/>
      <c r="B140" s="132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2.75" customHeight="1">
      <c r="A141" s="108"/>
      <c r="B141" s="132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2.75" customHeight="1">
      <c r="A142" s="108"/>
      <c r="B142" s="132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2.75" customHeight="1">
      <c r="A143" s="108"/>
      <c r="B143" s="132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2.75" customHeight="1">
      <c r="A144" s="108"/>
      <c r="B144" s="132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2.75" customHeight="1">
      <c r="A145" s="108"/>
      <c r="B145" s="132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2.75" customHeight="1">
      <c r="A146" s="108"/>
      <c r="B146" s="132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2.75" customHeight="1">
      <c r="A147" s="108"/>
      <c r="B147" s="132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2.75" customHeight="1">
      <c r="A148" s="108"/>
      <c r="B148" s="132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2.75" customHeight="1">
      <c r="A149" s="108"/>
      <c r="B149" s="132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2.75" customHeight="1">
      <c r="A150" s="108"/>
      <c r="B150" s="132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2.75" customHeight="1">
      <c r="A151" s="108"/>
      <c r="B151" s="132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2.75" customHeight="1">
      <c r="A152" s="108"/>
      <c r="B152" s="132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2.75" customHeight="1">
      <c r="A153" s="108"/>
      <c r="B153" s="132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2.75" customHeight="1">
      <c r="A154" s="108"/>
      <c r="B154" s="132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2.75" customHeight="1">
      <c r="A155" s="108"/>
      <c r="B155" s="132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2.75" customHeight="1">
      <c r="A156" s="108"/>
      <c r="B156" s="132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2.75" customHeight="1">
      <c r="A157" s="108"/>
      <c r="B157" s="132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2.75" customHeight="1">
      <c r="A158" s="108"/>
      <c r="B158" s="132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2.75" customHeight="1">
      <c r="A159" s="108"/>
      <c r="B159" s="132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2.75" customHeight="1">
      <c r="A160" s="108"/>
      <c r="B160" s="132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2.75" customHeight="1">
      <c r="A161" s="108"/>
      <c r="B161" s="132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2.75" customHeight="1">
      <c r="A162" s="108"/>
      <c r="B162" s="132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2.75" customHeight="1">
      <c r="A163" s="108"/>
      <c r="B163" s="132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2.75" customHeight="1">
      <c r="A164" s="108"/>
      <c r="B164" s="132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2.75" customHeight="1">
      <c r="A165" s="108"/>
      <c r="B165" s="132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2.75" customHeight="1">
      <c r="A166" s="108"/>
      <c r="B166" s="132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2.75" customHeight="1">
      <c r="A167" s="108"/>
      <c r="B167" s="132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2.75" customHeight="1">
      <c r="A168" s="108"/>
      <c r="B168" s="132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2.75" customHeight="1">
      <c r="A169" s="108"/>
      <c r="B169" s="132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2.75" customHeight="1">
      <c r="A170" s="108"/>
      <c r="B170" s="132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2.75" customHeight="1">
      <c r="A171" s="108"/>
      <c r="B171" s="132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2.75" customHeight="1">
      <c r="A172" s="108"/>
      <c r="B172" s="132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2.75" customHeight="1">
      <c r="A173" s="108"/>
      <c r="B173" s="132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2.75" customHeight="1">
      <c r="A174" s="108"/>
      <c r="B174" s="132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2.75" customHeight="1">
      <c r="A175" s="108"/>
      <c r="B175" s="132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2.75" customHeight="1">
      <c r="A176" s="108"/>
      <c r="B176" s="132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2.75" customHeight="1">
      <c r="A177" s="108"/>
      <c r="B177" s="132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2.75" customHeight="1">
      <c r="A178" s="108"/>
      <c r="B178" s="132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2.75" customHeight="1">
      <c r="A179" s="108"/>
      <c r="B179" s="132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2.75" customHeight="1">
      <c r="A180" s="108"/>
      <c r="B180" s="132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2.75" customHeight="1">
      <c r="A181" s="108"/>
      <c r="B181" s="132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2.75" customHeight="1">
      <c r="A182" s="108"/>
      <c r="B182" s="132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2.75" customHeight="1">
      <c r="A183" s="108"/>
      <c r="B183" s="132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2.75" customHeight="1">
      <c r="A184" s="108"/>
      <c r="B184" s="132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2.75" customHeight="1">
      <c r="A185" s="108"/>
      <c r="B185" s="132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2.75" customHeight="1">
      <c r="A186" s="108"/>
      <c r="B186" s="132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2.75" customHeight="1">
      <c r="A187" s="108"/>
      <c r="B187" s="132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2.75" customHeight="1">
      <c r="A188" s="108"/>
      <c r="B188" s="132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2.75" customHeight="1">
      <c r="A189" s="108"/>
      <c r="B189" s="132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2.75" customHeight="1">
      <c r="A190" s="108"/>
      <c r="B190" s="132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2.75" customHeight="1">
      <c r="A191" s="108"/>
      <c r="B191" s="132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2.75" customHeight="1">
      <c r="A192" s="108"/>
      <c r="B192" s="132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2.75" customHeight="1">
      <c r="A193" s="108"/>
      <c r="B193" s="132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2.75" customHeight="1">
      <c r="A194" s="108"/>
      <c r="B194" s="132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2.75" customHeight="1">
      <c r="A195" s="108"/>
      <c r="B195" s="132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2.75" customHeight="1">
      <c r="A196" s="108"/>
      <c r="B196" s="132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2.75" customHeight="1">
      <c r="A197" s="108"/>
      <c r="B197" s="132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2.75" customHeight="1">
      <c r="A198" s="108"/>
      <c r="B198" s="132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2.75" customHeight="1">
      <c r="A199" s="108"/>
      <c r="B199" s="132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2.75" customHeight="1">
      <c r="A200" s="108"/>
      <c r="B200" s="132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2.75" customHeight="1">
      <c r="A201" s="108"/>
      <c r="B201" s="132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2.75" customHeight="1">
      <c r="A202" s="108"/>
      <c r="B202" s="132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2.75" customHeight="1">
      <c r="A203" s="108"/>
      <c r="B203" s="132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2.75" customHeight="1">
      <c r="A204" s="108"/>
      <c r="B204" s="132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2.75" customHeight="1">
      <c r="A205" s="108"/>
      <c r="B205" s="132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2.75" customHeight="1">
      <c r="A206" s="108"/>
      <c r="B206" s="132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2.75" customHeight="1">
      <c r="A207" s="108"/>
      <c r="B207" s="132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2.75" customHeight="1">
      <c r="A208" s="108"/>
      <c r="B208" s="132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2.75" customHeight="1">
      <c r="A209" s="108"/>
      <c r="B209" s="132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2.75" customHeight="1">
      <c r="A210" s="108"/>
      <c r="B210" s="132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2.75" customHeight="1">
      <c r="A211" s="108"/>
      <c r="B211" s="132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2.75" customHeight="1">
      <c r="A212" s="108"/>
      <c r="B212" s="132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2.75" customHeight="1">
      <c r="A213" s="108"/>
      <c r="B213" s="132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2.75" customHeight="1">
      <c r="A214" s="108"/>
      <c r="B214" s="132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2.75" customHeight="1">
      <c r="A215" s="108"/>
      <c r="B215" s="132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2.75" customHeight="1">
      <c r="A216" s="108"/>
      <c r="B216" s="132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2.75" customHeight="1">
      <c r="A217" s="108"/>
      <c r="B217" s="132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2.75" customHeight="1">
      <c r="A218" s="108"/>
      <c r="B218" s="132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2.75" customHeight="1">
      <c r="A219" s="108"/>
      <c r="B219" s="132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2.75" customHeight="1">
      <c r="A220" s="108"/>
      <c r="B220" s="132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2.75" customHeight="1">
      <c r="A221" s="108"/>
      <c r="B221" s="132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2.75" customHeight="1">
      <c r="A222" s="108"/>
      <c r="B222" s="132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2.75" customHeight="1">
      <c r="A223" s="108"/>
      <c r="B223" s="132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2.75" customHeight="1">
      <c r="A224" s="108"/>
      <c r="B224" s="132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2.75" customHeight="1">
      <c r="A225" s="108"/>
      <c r="B225" s="132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2.75" customHeight="1">
      <c r="A226" s="108"/>
      <c r="B226" s="132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2.75" customHeight="1">
      <c r="A227" s="108"/>
      <c r="B227" s="132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2.75" customHeight="1">
      <c r="A228" s="108"/>
      <c r="B228" s="132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2.75" customHeight="1">
      <c r="A229" s="108"/>
      <c r="B229" s="132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2.75" customHeight="1">
      <c r="A230" s="108"/>
      <c r="B230" s="132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2.75" customHeight="1">
      <c r="A231" s="108"/>
      <c r="B231" s="132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2.75" customHeight="1">
      <c r="A232" s="108"/>
      <c r="B232" s="132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2.75" customHeight="1">
      <c r="A233" s="108"/>
      <c r="B233" s="132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2.75" customHeight="1">
      <c r="A234" s="108"/>
      <c r="B234" s="132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2.75" customHeight="1">
      <c r="A235" s="108"/>
      <c r="B235" s="132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2.75" customHeight="1">
      <c r="A236" s="108"/>
      <c r="B236" s="132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2.75" customHeight="1">
      <c r="A237" s="108"/>
      <c r="B237" s="132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2.75" customHeight="1">
      <c r="A238" s="108"/>
      <c r="B238" s="132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2.75" customHeight="1">
      <c r="A239" s="108"/>
      <c r="B239" s="132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2.75" customHeight="1">
      <c r="A240" s="108"/>
      <c r="B240" s="132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2.75" customHeight="1">
      <c r="A241" s="108"/>
      <c r="B241" s="132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2.75" customHeight="1">
      <c r="A242" s="108"/>
      <c r="B242" s="132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2.75" customHeight="1">
      <c r="A243" s="108"/>
      <c r="B243" s="132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2.75" customHeight="1">
      <c r="A244" s="108"/>
      <c r="B244" s="132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2.75" customHeight="1">
      <c r="A245" s="108"/>
      <c r="B245" s="132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2.75" customHeight="1">
      <c r="A246" s="108"/>
      <c r="B246" s="132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2.75" customHeight="1">
      <c r="A247" s="108"/>
      <c r="B247" s="132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2.75" customHeight="1">
      <c r="A248" s="108"/>
      <c r="B248" s="132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2.75" customHeight="1">
      <c r="A249" s="108"/>
      <c r="B249" s="132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2.75" customHeight="1">
      <c r="A250" s="108"/>
      <c r="B250" s="132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2.75" customHeight="1">
      <c r="A251" s="108"/>
      <c r="B251" s="132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2.75" customHeight="1">
      <c r="A252" s="108"/>
      <c r="B252" s="132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2.75" customHeight="1">
      <c r="A253" s="108"/>
      <c r="B253" s="132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2.75" customHeight="1">
      <c r="A254" s="108"/>
      <c r="B254" s="132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2.75" customHeight="1">
      <c r="A255" s="108"/>
      <c r="B255" s="132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2.75" customHeight="1">
      <c r="A256" s="108"/>
      <c r="B256" s="132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2.75" customHeight="1">
      <c r="A257" s="108"/>
      <c r="B257" s="132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2.75" customHeight="1">
      <c r="A258" s="108"/>
      <c r="B258" s="132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2.75" customHeight="1">
      <c r="A259" s="108"/>
      <c r="B259" s="132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2.75" customHeight="1">
      <c r="A260" s="108"/>
      <c r="B260" s="132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2.75" customHeight="1">
      <c r="A261" s="108"/>
      <c r="B261" s="132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2.75" customHeight="1">
      <c r="A262" s="108"/>
      <c r="B262" s="132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2.75" customHeight="1">
      <c r="A263" s="108"/>
      <c r="B263" s="132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2.75" customHeight="1">
      <c r="A264" s="108"/>
      <c r="B264" s="132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2.75" customHeight="1">
      <c r="A265" s="108"/>
      <c r="B265" s="132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2.75" customHeight="1">
      <c r="A266" s="108"/>
      <c r="B266" s="132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2.75" customHeight="1">
      <c r="A267" s="108"/>
      <c r="B267" s="132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2.75" customHeight="1">
      <c r="A268" s="108"/>
      <c r="B268" s="132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2.75" customHeight="1">
      <c r="A269" s="108"/>
      <c r="B269" s="132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2.75" customHeight="1">
      <c r="A270" s="108"/>
      <c r="B270" s="132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printOptions/>
  <pageMargins bottom="0.75" footer="0.0" header="0.0" left="0.7" right="0.7" top="0.75"/>
  <pageSetup fitToHeight="0" paperSize="9" orientation="landscape"/>
  <headerFooter>
    <oddFooter>&amp;LSIGNATURE OF EXAMINER &amp;&amp; DATE&amp;CNAME OF EXAMINER         Page-&amp;P&amp;RSIGNATURE OF CHAIRPERSON</oddFooter>
  </headerFooter>
  <drawing r:id="rId1"/>
</worksheet>
</file>