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ADME" sheetId="1" r:id="rId5"/>
    <sheet state="visible" name="CSE221" sheetId="2" r:id="rId6"/>
    <sheet state="visible" name="CSE220" sheetId="3" r:id="rId7"/>
    <sheet state="hidden" name="Consultation" sheetId="4" r:id="rId8"/>
  </sheets>
  <definedNames/>
  <calcPr/>
</workbook>
</file>

<file path=xl/sharedStrings.xml><?xml version="1.0" encoding="utf-8"?>
<sst xmlns="http://schemas.openxmlformats.org/spreadsheetml/2006/main" count="184" uniqueCount="142">
  <si>
    <t>Faculty Information</t>
  </si>
  <si>
    <t>Name</t>
  </si>
  <si>
    <t>CSE221: Algorithms</t>
  </si>
  <si>
    <t>CSE220: Data Structures</t>
  </si>
  <si>
    <t>Ariyan Hossain [AYO]</t>
  </si>
  <si>
    <t>Email</t>
  </si>
  <si>
    <t>BRAC University</t>
  </si>
  <si>
    <t>ariyan.hossain@bracu.ac.bd</t>
  </si>
  <si>
    <t>Desk</t>
  </si>
  <si>
    <t>4N153</t>
  </si>
  <si>
    <t>Chap</t>
  </si>
  <si>
    <t>Routine</t>
  </si>
  <si>
    <t>Course Contents</t>
  </si>
  <si>
    <t>Consultation Hours</t>
  </si>
  <si>
    <t>Chapter Notes</t>
  </si>
  <si>
    <t>Resources</t>
  </si>
  <si>
    <t>Consultation Hour Planner</t>
  </si>
  <si>
    <r>
      <rPr>
        <rFont val="Arial"/>
        <b/>
        <color theme="1"/>
      </rPr>
      <t xml:space="preserve">
</t>
    </r>
    <r>
      <rPr>
        <rFont val="Arial"/>
        <b/>
        <color theme="1"/>
        <sz val="17.0"/>
      </rPr>
      <t>Scan &amp; J</t>
    </r>
    <r>
      <rPr>
        <rFont val="Verdana"/>
        <b/>
        <color theme="1"/>
        <sz val="17.0"/>
      </rPr>
      <t>oin the Discord Server!</t>
    </r>
  </si>
  <si>
    <t>An Introduction to Complexity Theory</t>
  </si>
  <si>
    <t>Introduction to Algorithms</t>
  </si>
  <si>
    <t>CSE220 Chap 0</t>
  </si>
  <si>
    <t>CSE221 Chap 0</t>
  </si>
  <si>
    <t>Faculty:</t>
  </si>
  <si>
    <t>Ariyan Hossain</t>
  </si>
  <si>
    <t>Initial</t>
  </si>
  <si>
    <t>AYO</t>
  </si>
  <si>
    <t>Programme:</t>
  </si>
  <si>
    <t>CSE</t>
  </si>
  <si>
    <t>Semester:</t>
  </si>
  <si>
    <t>Summer 2025</t>
  </si>
  <si>
    <t>Email:</t>
  </si>
  <si>
    <t>Asymptotic Analysis</t>
  </si>
  <si>
    <t>CSE221 Chap 1</t>
  </si>
  <si>
    <t>Room:</t>
  </si>
  <si>
    <t>Linked List</t>
  </si>
  <si>
    <t>CSE220 Chap 2</t>
  </si>
  <si>
    <t xml:space="preserve">    - Big Oh, O
    - Big Omega, Ω
    - Big Theta, θ</t>
  </si>
  <si>
    <t>8:00 AM</t>
  </si>
  <si>
    <t>9:30 AM</t>
  </si>
  <si>
    <t>11:00 AM</t>
  </si>
  <si>
    <t>12:30 PM</t>
  </si>
  <si>
    <t>2:00 PM</t>
  </si>
  <si>
    <t>3:30 PM</t>
  </si>
  <si>
    <t>5:00 PM</t>
  </si>
  <si>
    <t>6:00 PM</t>
  </si>
  <si>
    <t>7:30 PM</t>
  </si>
  <si>
    <t>Saturday</t>
  </si>
  <si>
    <t>Time Complexity</t>
  </si>
  <si>
    <t>CSE221 Chap 2</t>
  </si>
  <si>
    <r>
      <rPr>
        <rFont val="Verdana"/>
        <color rgb="FF1155CC"/>
        <sz val="15.0"/>
        <u/>
      </rPr>
      <t>[Notes] 1D Array
[Recording] Singly Linked List Coding Part 2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>[YouTube] Singly Linked List Playlist in Python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 xml:space="preserve">[YouTube] Singly Linked List Playlist 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>[YouTube] Doubly Linked List Playlist in Python</t>
    </r>
    <r>
      <rPr>
        <rFont val="Verdana"/>
        <sz val="15.0"/>
      </rPr>
      <t xml:space="preserve"> 
</t>
    </r>
    <r>
      <rPr>
        <rFont val="Verdana"/>
        <color rgb="FF1155CC"/>
        <sz val="15.0"/>
        <u/>
      </rPr>
      <t>[YouTube] Doubly Linked List Playlist</t>
    </r>
  </si>
  <si>
    <t>Consultation by 
Appointment</t>
  </si>
  <si>
    <t>CSE221-03 (LAB)
TAP,AYO
09B-10L</t>
  </si>
  <si>
    <r>
      <rPr>
        <rFont val="Verdana"/>
        <color rgb="FF1155CC"/>
        <sz val="15.0"/>
        <u/>
      </rPr>
      <t>[Note] Advanced Master Theorem</t>
    </r>
    <r>
      <rPr>
        <rFont val="Verdana"/>
        <color rgb="FF000000"/>
        <sz val="15.0"/>
      </rPr>
      <t xml:space="preserve">
</t>
    </r>
    <r>
      <rPr>
        <rFont val="Verdana"/>
        <color rgb="FF1155CC"/>
        <sz val="15.0"/>
        <u/>
      </rPr>
      <t>[BuX] Time Complexity Part 1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>[BuX] Time Complexity Part 2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>[BuX] Time Complexity Part 3
[BuX] Time Complexity Part 4</t>
    </r>
  </si>
  <si>
    <t>Sunday</t>
  </si>
  <si>
    <t>CSE440-01,02 (LAB)
NNFN,AYO
10G-32L</t>
  </si>
  <si>
    <t>CSE221-29
10B-17C</t>
  </si>
  <si>
    <t>CSE221-05
10B-17C</t>
  </si>
  <si>
    <t xml:space="preserve">    - Simplified Rules
    - Series Rules
    - Iterative Time Complexities (dependent, independent, 
      nested loops)
    - Recursive Time Complexities (Substitution, Master 
      theorem, Recurrence Tree)</t>
  </si>
  <si>
    <t>Monday</t>
  </si>
  <si>
    <t>CSE220-06 (LAB)
MNP,AYO
09B-10L</t>
  </si>
  <si>
    <t>CSE220-10 (LAB)
MNW,AYO
09B-10L</t>
  </si>
  <si>
    <t>Tuesday</t>
  </si>
  <si>
    <t xml:space="preserve">    - Properties
    - Declaration of all types (Singly, Doubly, etc)
    - Operations of all types (Singly, Doubly, etc)</t>
  </si>
  <si>
    <t>Searching Algorithms</t>
  </si>
  <si>
    <t>CSE221 Chap 3</t>
  </si>
  <si>
    <t>Wednesday</t>
  </si>
  <si>
    <t>Thursday</t>
  </si>
  <si>
    <t>Friday</t>
  </si>
  <si>
    <t>Multidimensional (2D) Array</t>
  </si>
  <si>
    <t>CSE220 Chap 1</t>
  </si>
  <si>
    <t>[Recording] Ternary Search</t>
  </si>
  <si>
    <t xml:space="preserve">    - Linear Search
    - Binary Search
    - Ternary Search</t>
  </si>
  <si>
    <r>
      <rPr>
        <rFont val="Arial"/>
        <b/>
        <sz val="12.0"/>
      </rPr>
      <t xml:space="preserve">**Please book your consultation hour beforehand (atleast 1 day before): </t>
    </r>
    <r>
      <rPr>
        <rFont val="Arial"/>
        <b/>
        <color rgb="FF1155CC"/>
        <sz val="12.0"/>
        <u/>
      </rPr>
      <t>https://forms.gle/fhLSvDQ1PXNM2m979</t>
    </r>
  </si>
  <si>
    <t>[Notes] 1D Array</t>
  </si>
  <si>
    <t>Sorting Algorithms</t>
  </si>
  <si>
    <t>CSE221 Chap 4</t>
  </si>
  <si>
    <t xml:space="preserve">    - Declaration
    - Operations</t>
  </si>
  <si>
    <t>[Recording] Merge and Quick Sort</t>
  </si>
  <si>
    <t>Theory</t>
  </si>
  <si>
    <t>Hashing and Hashtable</t>
  </si>
  <si>
    <t>CSE220 Chap 6</t>
  </si>
  <si>
    <t xml:space="preserve">    - Merge Sort
    - Quick Sort
    - Count Sort</t>
  </si>
  <si>
    <t>SAT</t>
  </si>
  <si>
    <t>Divide-and-Conquer</t>
  </si>
  <si>
    <t>CSE221 Chap 5</t>
  </si>
  <si>
    <t>[Recording] Hash Function and Coding</t>
  </si>
  <si>
    <r>
      <rPr>
        <rFont val="Verdana"/>
        <color rgb="FF1155CC"/>
        <sz val="15.0"/>
        <u/>
      </rPr>
      <t>[YouTube] Maximum Subarray (Watch till 6:11)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>[YouTube] Karatsuba's Multiplication
[Recording] Karatsuba's Multiplication</t>
    </r>
  </si>
  <si>
    <t xml:space="preserve">    - Hashtable
    - Hash Function
    - Collision (Forward Chaining &amp; Linear Probing)</t>
  </si>
  <si>
    <t xml:space="preserve">    - Maximum Subarray Problem
    - Karatsuba's Multiplication Algorithm</t>
  </si>
  <si>
    <t>MID EXAMINATION</t>
  </si>
  <si>
    <t>Stack</t>
  </si>
  <si>
    <t>CSE220 Chap 4</t>
  </si>
  <si>
    <t>Graph Traversal 1</t>
  </si>
  <si>
    <t>CSE221 Chap 7</t>
  </si>
  <si>
    <t>SUN</t>
  </si>
  <si>
    <t>[Recording] BFS and BFS Applications
[Recording] DFS and DFS Applications</t>
  </si>
  <si>
    <t>[Recording] Stack Introduction and Operations</t>
  </si>
  <si>
    <t xml:space="preserve">    - BFS
    - BFS Applications (Shortest path &amp; Bipartite)</t>
  </si>
  <si>
    <t xml:space="preserve">    - Operations (push, pop, peek)
    - Implementation (Linked List &amp; Array)
    - Applications (Reverse, Expression Evaluation, 
      Paranthesis Matching)</t>
  </si>
  <si>
    <t>MON</t>
  </si>
  <si>
    <t>Graph Traversal 2</t>
  </si>
  <si>
    <t>Queue</t>
  </si>
  <si>
    <t>CSE220 Chap 5</t>
  </si>
  <si>
    <t xml:space="preserve">    - DFS
    - DFS Applications (Edge Classfication &amp; Cycle Detection)</t>
  </si>
  <si>
    <t>Graph Algorithms</t>
  </si>
  <si>
    <t>CSE221 Chap 8</t>
  </si>
  <si>
    <t xml:space="preserve">    - Operations (enqueue, dequeue, peek)
    - Implementation (Linked List &amp; Array)
    - Table Based Simulation</t>
  </si>
  <si>
    <r>
      <rPr>
        <rFont val="Verdana"/>
        <color rgb="FF1155CC"/>
        <sz val="15.0"/>
        <u/>
      </rPr>
      <t>[YouTube] Dijkstra's Algorithm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>[YouTube] Bellman-Ford Algorithm</t>
    </r>
  </si>
  <si>
    <t>TUE</t>
  </si>
  <si>
    <t xml:space="preserve">    - Topological Sort
    - Strongly Connected Components
    - Shortest Path (Dijkstra)</t>
  </si>
  <si>
    <t>Tree</t>
  </si>
  <si>
    <t>Greedy Algorithms</t>
  </si>
  <si>
    <t>CSE220 Chap 8</t>
  </si>
  <si>
    <t>CSE221 Chap 9</t>
  </si>
  <si>
    <t>WED</t>
  </si>
  <si>
    <t>[BuX] Huffman Coding
[Recording] Kruskal's Algorithm</t>
  </si>
  <si>
    <r>
      <rPr>
        <rFont val="Verdana"/>
        <color rgb="FF1155CC"/>
        <sz val="15.0"/>
        <u/>
      </rPr>
      <t>[Notes] Recursion</t>
    </r>
    <r>
      <rPr>
        <rFont val="Verdana"/>
        <color rgb="FF000000"/>
        <sz val="15.0"/>
      </rPr>
      <t xml:space="preserve">
</t>
    </r>
    <r>
      <rPr>
        <rFont val="Verdana"/>
        <color rgb="FF1155CC"/>
        <sz val="15.0"/>
        <u/>
      </rPr>
      <t>[Recording] Recursion and Intro to Tree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>[YouTube] Tree Visualization</t>
    </r>
  </si>
  <si>
    <t xml:space="preserve">    - Spanning &amp; Minimum Spanning Tree
    - Kruskal's Algorithm
    - Huffman Coding</t>
  </si>
  <si>
    <t>Dynamic Programming</t>
  </si>
  <si>
    <t>CSE221 Chap 10</t>
  </si>
  <si>
    <t xml:space="preserve">    - Terminologies
    - Characteristics 
    - Binary Tree
    - Binary Tree Traversal (Inorder, Preorder, Postorder)
    - Binary Tree Coding (Implementation, Identifying 
      Tree types, Finding level, height, depth)</t>
  </si>
  <si>
    <t>Binary Search Tree</t>
  </si>
  <si>
    <t>CSE220 Chap 9</t>
  </si>
  <si>
    <r>
      <rPr>
        <rFont val="Verdana"/>
        <color rgb="FF1155CC"/>
        <sz val="15.0"/>
        <u/>
      </rPr>
      <t>[YouTube] Intro to DP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 xml:space="preserve">[YouTube] 0/1 Knapsack using DP </t>
    </r>
    <r>
      <rPr>
        <rFont val="Verdana"/>
        <sz val="15.0"/>
      </rPr>
      <t xml:space="preserve">
</t>
    </r>
    <r>
      <rPr>
        <rFont val="Verdana"/>
        <color rgb="FF1155CC"/>
        <sz val="15.0"/>
        <u/>
      </rPr>
      <t>[YouTube] LCS</t>
    </r>
  </si>
  <si>
    <t>THU</t>
  </si>
  <si>
    <t xml:space="preserve">    - DP Basics
    - Knapsack Problem (Fractional &amp; 0/1)
    - Longest Common Subsequence</t>
  </si>
  <si>
    <t xml:space="preserve">    - Operations (Creation, Insertion, Deletion)
    - Balanced BST (Conversion into Balanced BST)
    - BST Coding (Creation, Insertion, Deletion, 
      Searching, Balancing)</t>
  </si>
  <si>
    <t>Backtracking Algorithms</t>
  </si>
  <si>
    <t>CSE221 Chap 11</t>
  </si>
  <si>
    <t>Heap</t>
  </si>
  <si>
    <t>CSE220 Chap 10</t>
  </si>
  <si>
    <t xml:space="preserve">    - 8 Queen Problem
    - 15 Puzzle Problem</t>
  </si>
  <si>
    <t xml:space="preserve">[Recording] Heap Simulations
[Tool] Heap Simulations
</t>
  </si>
  <si>
    <t>FRI</t>
  </si>
  <si>
    <t xml:space="preserve">    - Structure (Max &amp; Min Heap) &amp; Representation
    - Operations (Insert, Swim, Delete, Sink, Sort)</t>
  </si>
  <si>
    <t>Graph</t>
  </si>
  <si>
    <t>CSE220 Chap 11</t>
  </si>
  <si>
    <t xml:space="preserve">    - Types of Graphs (Undirected, Directed, 
      Unweighted, Weighted)
    - Representations (Adjacency Matrix &amp; Adjacency List)</t>
  </si>
  <si>
    <t>Graph Traversal</t>
  </si>
  <si>
    <t>CSE220 Chap 12</t>
  </si>
  <si>
    <t>Lab</t>
  </si>
  <si>
    <t xml:space="preserve">    - BFS
    - DFS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</si>
</sst>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Theory:&quot;  ##"/>
    <numFmt numFmtId="165" formatCode="h:mm am/pm"/>
  </numFmts>
  <fonts count="27">
    <font>
      <sz val="10.0"/>
      <color rgb="FF000000"/>
      <name val="Arial"/>
      <scheme val="minor"/>
    </font>
    <font>
      <b/>
      <sz val="17.0"/>
      <color theme="1"/>
      <name val="Verdana"/>
    </font>
    <font>
      <color theme="1"/>
      <name val="Verdana"/>
    </font>
    <font/>
    <font>
      <color theme="1"/>
      <name val="Arial"/>
    </font>
    <font>
      <color theme="0"/>
      <name val="Arial"/>
    </font>
    <font>
      <sz val="17.0"/>
      <color theme="1"/>
      <name val="Verdana"/>
    </font>
    <font>
      <b/>
      <sz val="18.0"/>
      <color theme="1"/>
      <name val="Nunito"/>
    </font>
    <font>
      <sz val="15.0"/>
      <color theme="1"/>
      <name val="Verdana"/>
    </font>
    <font>
      <b/>
      <sz val="15.0"/>
      <color theme="1"/>
      <name val="Verdana"/>
    </font>
    <font>
      <sz val="17.0"/>
      <color theme="1"/>
      <name val="Arial"/>
      <scheme val="minor"/>
    </font>
    <font>
      <u/>
      <sz val="17.0"/>
      <color rgb="FF0000FF"/>
    </font>
    <font>
      <b/>
      <sz val="14.0"/>
      <color theme="1"/>
      <name val="Nunito"/>
    </font>
    <font>
      <color theme="1"/>
      <name val="Arial"/>
      <scheme val="minor"/>
    </font>
    <font>
      <color theme="1"/>
      <name val="Nunito"/>
    </font>
    <font>
      <b/>
      <color theme="1"/>
      <name val="Nunito"/>
    </font>
    <font>
      <u/>
      <sz val="15.0"/>
      <color rgb="FF0000FF"/>
      <name val="Verdana"/>
    </font>
    <font>
      <b/>
      <sz val="14.0"/>
      <color theme="1"/>
      <name val="Arial"/>
    </font>
    <font>
      <sz val="13.0"/>
      <color theme="1"/>
      <name val="Verdana"/>
    </font>
    <font>
      <b/>
      <color theme="1"/>
      <name val="Arial"/>
    </font>
    <font>
      <b/>
      <color theme="0"/>
      <name val="Arial"/>
    </font>
    <font>
      <u/>
      <sz val="15.0"/>
      <color rgb="FF0000FF"/>
      <name val="Verdana"/>
    </font>
    <font>
      <u/>
      <sz val="15.0"/>
      <color rgb="FF0000FF"/>
      <name val="Verdana"/>
    </font>
    <font>
      <b/>
      <u/>
      <sz val="12.0"/>
      <color rgb="FF0000FF"/>
      <name val="Arial"/>
    </font>
    <font>
      <u/>
      <sz val="15.0"/>
      <color rgb="FF1155CC"/>
      <name val="Verdana"/>
    </font>
    <font>
      <u/>
      <sz val="15.0"/>
      <color rgb="FF1155CC"/>
      <name val="Verdana"/>
    </font>
    <font>
      <u/>
      <sz val="15.0"/>
      <color rgb="FF1155CC"/>
      <name val="Verdana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70">
    <border/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FFFFFF"/>
      </left>
      <right style="medium">
        <color rgb="FFFFFFFF"/>
      </right>
      <bottom style="medium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FFFF"/>
      </left>
      <right style="thin">
        <color rgb="FFFFFFFF"/>
      </right>
      <bottom style="medium">
        <color rgb="FFFFFFFF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right style="medium">
        <color rgb="FFFFFFFF"/>
      </right>
      <top style="thick">
        <color rgb="FF000000"/>
      </top>
      <bottom style="medium">
        <color rgb="FFFFFFFF"/>
      </bottom>
    </border>
    <border>
      <right style="thin">
        <color rgb="FF000000"/>
      </right>
      <bottom style="medium">
        <color rgb="FF000000"/>
      </bottom>
    </border>
    <border>
      <left style="medium">
        <color rgb="FFFFFFFF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thick">
        <color rgb="FF000000"/>
      </top>
      <bottom style="medium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thick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FFFFFF"/>
      </left>
      <right style="thin">
        <color rgb="FFFFFFFF"/>
      </right>
      <top style="medium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Font="1"/>
    <xf borderId="2" fillId="0" fontId="3" numFmtId="0" xfId="0" applyBorder="1" applyFont="1"/>
    <xf borderId="0" fillId="3" fontId="4" numFmtId="0" xfId="0" applyAlignment="1" applyFill="1" applyFont="1">
      <alignment vertical="bottom"/>
    </xf>
    <xf borderId="3" fillId="0" fontId="3" numFmtId="0" xfId="0" applyBorder="1" applyFont="1"/>
    <xf borderId="0" fillId="0" fontId="5" numFmtId="0" xfId="0" applyAlignment="1" applyFont="1">
      <alignment vertical="bottom"/>
    </xf>
    <xf borderId="4" fillId="0" fontId="6" numFmtId="0" xfId="0" applyAlignment="1" applyBorder="1" applyFont="1">
      <alignment vertical="bottom"/>
    </xf>
    <xf borderId="5" fillId="4" fontId="1" numFmtId="0" xfId="0" applyAlignment="1" applyBorder="1" applyFill="1" applyFont="1">
      <alignment horizontal="center" readingOrder="0"/>
    </xf>
    <xf borderId="5" fillId="5" fontId="1" numFmtId="0" xfId="0" applyAlignment="1" applyBorder="1" applyFill="1" applyFont="1">
      <alignment horizontal="center" readingOrder="0"/>
    </xf>
    <xf borderId="6" fillId="0" fontId="3" numFmtId="0" xfId="0" applyBorder="1" applyFont="1"/>
    <xf borderId="7" fillId="0" fontId="6" numFmtId="0" xfId="0" applyAlignment="1" applyBorder="1" applyFont="1">
      <alignment horizontal="center" vertical="bottom"/>
    </xf>
    <xf borderId="8" fillId="0" fontId="3" numFmtId="0" xfId="0" applyBorder="1" applyFont="1"/>
    <xf borderId="9" fillId="0" fontId="6" numFmtId="0" xfId="0" applyAlignment="1" applyBorder="1" applyFont="1">
      <alignment horizontal="center" vertical="bottom"/>
    </xf>
    <xf borderId="10" fillId="3" fontId="4" numFmtId="0" xfId="0" applyAlignment="1" applyBorder="1" applyFill="1" applyFont="1">
      <alignment vertical="bottom"/>
    </xf>
    <xf borderId="11" fillId="0" fontId="3" numFmtId="0" xfId="0" applyBorder="1" applyFont="1"/>
    <xf borderId="0" fillId="0" fontId="6" numFmtId="0" xfId="0" applyAlignment="1" applyFont="1">
      <alignment horizontal="center" vertical="bottom"/>
    </xf>
    <xf borderId="12" fillId="0" fontId="2" numFmtId="0" xfId="0" applyBorder="1" applyFont="1"/>
    <xf borderId="13" fillId="3" fontId="7" numFmtId="0" xfId="0" applyAlignment="1" applyBorder="1" applyFill="1" applyFont="1">
      <alignment horizontal="center" vertical="bottom"/>
    </xf>
    <xf borderId="14" fillId="0" fontId="3" numFmtId="0" xfId="0" applyBorder="1" applyFont="1"/>
    <xf borderId="0" fillId="0" fontId="8" numFmtId="0" xfId="0" applyFont="1"/>
    <xf borderId="15" fillId="0" fontId="3" numFmtId="0" xfId="0" applyBorder="1" applyFont="1"/>
    <xf borderId="16" fillId="0" fontId="9" numFmtId="0" xfId="0" applyAlignment="1" applyBorder="1" applyFont="1">
      <alignment readingOrder="0"/>
    </xf>
    <xf borderId="4" fillId="0" fontId="10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horizontal="center" readingOrder="0"/>
    </xf>
    <xf borderId="17" fillId="3" fontId="4" numFmtId="0" xfId="0" applyAlignment="1" applyBorder="1" applyFill="1" applyFont="1">
      <alignment vertical="bottom"/>
    </xf>
    <xf borderId="18" fillId="0" fontId="9" numFmtId="0" xfId="0" applyAlignment="1" applyBorder="1" applyFont="1">
      <alignment readingOrder="0"/>
    </xf>
    <xf borderId="19" fillId="0" fontId="4" numFmtId="0" xfId="0" applyAlignment="1" applyBorder="1" applyFont="1">
      <alignment vertical="bottom"/>
    </xf>
    <xf borderId="7" fillId="0" fontId="11" numFmtId="0" xfId="0" applyAlignment="1" applyBorder="1" applyFont="1">
      <alignment horizontal="center" readingOrder="0"/>
    </xf>
    <xf borderId="16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20" fillId="0" fontId="12" numFmtId="0" xfId="0" applyAlignment="1" applyBorder="1" applyFont="1">
      <alignment horizontal="center" vertical="bottom"/>
    </xf>
    <xf borderId="4" fillId="0" fontId="8" numFmtId="0" xfId="0" applyBorder="1" applyFont="1"/>
    <xf borderId="21" fillId="0" fontId="3" numFmtId="0" xfId="0" applyBorder="1" applyFont="1"/>
    <xf borderId="22" fillId="0" fontId="13" numFmtId="0" xfId="0" applyAlignment="1" applyBorder="1" applyFont="1">
      <alignment horizontal="center" readingOrder="0" vertical="top"/>
    </xf>
    <xf borderId="18" fillId="0" fontId="8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4" numFmtId="0" xfId="0" applyAlignment="1" applyBorder="1" applyFont="1">
      <alignment vertical="bottom"/>
    </xf>
    <xf borderId="28" fillId="0" fontId="3" numFmtId="0" xfId="0" applyBorder="1" applyFont="1"/>
    <xf borderId="16" fillId="0" fontId="8" numFmtId="0" xfId="0" applyAlignment="1" applyBorder="1" applyFont="1">
      <alignment horizontal="left" readingOrder="0" vertical="bottom"/>
    </xf>
    <xf borderId="20" fillId="0" fontId="4" numFmtId="0" xfId="0" applyAlignment="1" applyBorder="1" applyFont="1">
      <alignment vertical="bottom"/>
    </xf>
    <xf borderId="4" fillId="0" fontId="8" numFmtId="0" xfId="0" applyAlignment="1" applyBorder="1" applyFont="1">
      <alignment readingOrder="0" vertical="bottom"/>
    </xf>
    <xf borderId="29" fillId="0" fontId="3" numFmtId="0" xfId="0" applyBorder="1" applyFont="1"/>
    <xf borderId="30" fillId="0" fontId="3" numFmtId="0" xfId="0" applyBorder="1" applyFont="1"/>
    <xf borderId="31" fillId="0" fontId="14" numFmtId="164" xfId="0" applyAlignment="1" applyBorder="1" applyFont="1" applyNumberFormat="1">
      <alignment readingOrder="0" vertical="bottom"/>
    </xf>
    <xf borderId="32" fillId="0" fontId="3" numFmtId="0" xfId="0" applyBorder="1" applyFont="1"/>
    <xf borderId="33" fillId="0" fontId="15" numFmtId="0" xfId="0" applyAlignment="1" applyBorder="1" applyFont="1">
      <alignment readingOrder="0" vertical="bottom"/>
    </xf>
    <xf borderId="33" fillId="0" fontId="4" numFmtId="0" xfId="0" applyAlignment="1" applyBorder="1" applyFont="1">
      <alignment vertical="bottom"/>
    </xf>
    <xf borderId="33" fillId="0" fontId="14" numFmtId="0" xfId="0" applyAlignment="1" applyBorder="1" applyFont="1">
      <alignment readingOrder="0" vertical="bottom"/>
    </xf>
    <xf borderId="34" fillId="0" fontId="4" numFmtId="0" xfId="0" applyAlignment="1" applyBorder="1" applyFont="1">
      <alignment vertical="bottom"/>
    </xf>
    <xf borderId="24" fillId="0" fontId="4" numFmtId="0" xfId="0" applyAlignment="1" applyBorder="1" applyFont="1">
      <alignment vertical="bottom"/>
    </xf>
    <xf borderId="35" fillId="0" fontId="14" numFmtId="164" xfId="0" applyAlignment="1" applyBorder="1" applyFont="1" applyNumberFormat="1">
      <alignment readingOrder="0" vertical="bottom"/>
    </xf>
    <xf borderId="4" fillId="0" fontId="16" numFmtId="0" xfId="0" applyAlignment="1" applyBorder="1" applyFont="1">
      <alignment horizontal="center" readingOrder="0"/>
    </xf>
    <xf borderId="36" fillId="0" fontId="15" numFmtId="0" xfId="0" applyAlignment="1" applyBorder="1" applyFont="1">
      <alignment readingOrder="0" vertical="bottom"/>
    </xf>
    <xf borderId="36" fillId="0" fontId="4" numFmtId="0" xfId="0" applyAlignment="1" applyBorder="1" applyFont="1">
      <alignment vertical="bottom"/>
    </xf>
    <xf borderId="16" fillId="0" fontId="8" numFmtId="0" xfId="0" applyAlignment="1" applyBorder="1" applyFont="1">
      <alignment horizontal="left"/>
    </xf>
    <xf borderId="36" fillId="0" fontId="14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center"/>
    </xf>
    <xf borderId="37" fillId="0" fontId="4" numFmtId="0" xfId="0" applyAlignment="1" applyBorder="1" applyFont="1">
      <alignment vertical="bottom"/>
    </xf>
    <xf borderId="16" fillId="0" fontId="8" numFmtId="0" xfId="0" applyAlignment="1" applyBorder="1" applyFont="1">
      <alignment horizontal="left" readingOrder="0"/>
    </xf>
    <xf borderId="38" fillId="0" fontId="14" numFmtId="164" xfId="0" applyAlignment="1" applyBorder="1" applyFont="1" applyNumberFormat="1">
      <alignment readingOrder="0" vertical="bottom"/>
    </xf>
    <xf borderId="4" fillId="0" fontId="8" numFmtId="0" xfId="0" applyAlignment="1" applyBorder="1" applyFont="1">
      <alignment readingOrder="0"/>
    </xf>
    <xf borderId="39" fillId="0" fontId="15" numFmtId="0" xfId="0" applyAlignment="1" applyBorder="1" applyFont="1">
      <alignment readingOrder="0" vertical="bottom"/>
    </xf>
    <xf borderId="39" fillId="0" fontId="4" numFmtId="0" xfId="0" applyAlignment="1" applyBorder="1" applyFont="1">
      <alignment vertical="bottom"/>
    </xf>
    <xf borderId="39" fillId="0" fontId="14" numFmtId="0" xfId="0" applyAlignment="1" applyBorder="1" applyFont="1">
      <alignment readingOrder="0" vertical="bottom"/>
    </xf>
    <xf borderId="40" fillId="0" fontId="4" numFmtId="0" xfId="0" applyAlignment="1" applyBorder="1" applyFont="1">
      <alignment vertical="bottom"/>
    </xf>
    <xf borderId="41" fillId="0" fontId="4" numFmtId="0" xfId="0" applyAlignment="1" applyBorder="1" applyFont="1">
      <alignment vertical="bottom"/>
    </xf>
    <xf borderId="42" fillId="0" fontId="4" numFmtId="0" xfId="0" applyAlignment="1" applyBorder="1" applyFont="1">
      <alignment vertical="bottom"/>
    </xf>
    <xf borderId="43" fillId="0" fontId="4" numFmtId="164" xfId="0" applyAlignment="1" applyBorder="1" applyFont="1" applyNumberFormat="1">
      <alignment vertical="bottom"/>
    </xf>
    <xf borderId="43" fillId="0" fontId="4" numFmtId="0" xfId="0" applyAlignment="1" applyBorder="1" applyFont="1">
      <alignment vertical="bottom"/>
    </xf>
    <xf borderId="42" fillId="0" fontId="4" numFmtId="0" xfId="0" applyAlignment="1" applyBorder="1" applyFont="1">
      <alignment vertical="bottom"/>
    </xf>
    <xf borderId="44" fillId="0" fontId="8" numFmtId="0" xfId="0" applyAlignment="1" applyBorder="1" applyFont="1">
      <alignment readingOrder="0" vertical="top"/>
    </xf>
    <xf borderId="45" fillId="0" fontId="4" numFmtId="0" xfId="0" applyAlignment="1" applyBorder="1" applyFont="1">
      <alignment vertical="bottom"/>
    </xf>
    <xf borderId="46" fillId="0" fontId="17" numFmtId="49" xfId="0" applyAlignment="1" applyBorder="1" applyFont="1" applyNumberFormat="1">
      <alignment horizontal="center" vertical="center"/>
    </xf>
    <xf borderId="4" fillId="0" fontId="18" numFmtId="0" xfId="0" applyAlignment="1" applyBorder="1" applyFont="1">
      <alignment readingOrder="0"/>
    </xf>
    <xf borderId="47" fillId="0" fontId="19" numFmtId="49" xfId="0" applyAlignment="1" applyBorder="1" applyFont="1" applyNumberFormat="1">
      <alignment horizontal="center" vertical="center"/>
    </xf>
    <xf borderId="48" fillId="0" fontId="3" numFmtId="0" xfId="0" applyBorder="1" applyFont="1"/>
    <xf borderId="47" fillId="0" fontId="19" numFmtId="49" xfId="0" applyAlignment="1" applyBorder="1" applyFont="1" applyNumberFormat="1">
      <alignment horizontal="center" readingOrder="0" vertical="center"/>
    </xf>
    <xf borderId="16" fillId="0" fontId="13" numFmtId="0" xfId="0" applyAlignment="1" applyBorder="1" applyFont="1">
      <alignment horizontal="left"/>
    </xf>
    <xf borderId="49" fillId="0" fontId="19" numFmtId="49" xfId="0" applyAlignment="1" applyBorder="1" applyFont="1" applyNumberFormat="1">
      <alignment horizontal="center" readingOrder="0" vertical="center"/>
    </xf>
    <xf borderId="0" fillId="0" fontId="20" numFmtId="49" xfId="0" applyAlignment="1" applyFont="1" applyNumberFormat="1">
      <alignment horizontal="center" vertical="center"/>
    </xf>
    <xf borderId="50" fillId="0" fontId="19" numFmtId="0" xfId="0" applyAlignment="1" applyBorder="1" applyFont="1">
      <alignment horizontal="center" readingOrder="0" vertical="center"/>
    </xf>
    <xf borderId="51" fillId="0" fontId="4" numFmtId="0" xfId="0" applyAlignment="1" applyBorder="1" applyFont="1">
      <alignment horizontal="center" vertical="center"/>
    </xf>
    <xf borderId="52" fillId="0" fontId="4" numFmtId="0" xfId="0" applyAlignment="1" applyBorder="1" applyFont="1">
      <alignment horizontal="center" vertical="center"/>
    </xf>
    <xf borderId="52" fillId="6" fontId="4" numFmtId="0" xfId="0" applyAlignment="1" applyBorder="1" applyFill="1" applyFont="1">
      <alignment horizontal="center" readingOrder="0" vertical="center"/>
    </xf>
    <xf borderId="52" fillId="0" fontId="4" numFmtId="0" xfId="0" applyAlignment="1" applyBorder="1" applyFont="1">
      <alignment horizontal="center" readingOrder="0" vertical="center"/>
    </xf>
    <xf borderId="53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4" fillId="0" fontId="21" numFmtId="0" xfId="0" applyAlignment="1" applyBorder="1" applyFont="1">
      <alignment readingOrder="0" vertical="top"/>
    </xf>
    <xf borderId="54" fillId="0" fontId="4" numFmtId="0" xfId="0" applyAlignment="1" applyBorder="1" applyFont="1">
      <alignment horizontal="center" vertical="center"/>
    </xf>
    <xf borderId="4" fillId="0" fontId="18" numFmtId="0" xfId="0" applyAlignment="1" applyBorder="1" applyFont="1">
      <alignment readingOrder="0" shrinkToFit="0" wrapText="1"/>
    </xf>
    <xf borderId="4" fillId="6" fontId="4" numFmtId="0" xfId="0" applyAlignment="1" applyBorder="1" applyFill="1" applyFont="1">
      <alignment horizontal="center" readingOrder="0" vertical="center"/>
    </xf>
    <xf borderId="55" fillId="0" fontId="19" numFmtId="0" xfId="0" applyAlignment="1" applyBorder="1" applyFont="1">
      <alignment horizontal="center" readingOrder="0" vertical="center"/>
    </xf>
    <xf borderId="56" fillId="0" fontId="4" numFmtId="0" xfId="0" applyAlignment="1" applyBorder="1" applyFont="1">
      <alignment horizontal="center" vertical="center"/>
    </xf>
    <xf borderId="57" fillId="0" fontId="4" numFmtId="0" xfId="0" applyAlignment="1" applyBorder="1" applyFont="1">
      <alignment horizontal="center" vertical="center"/>
    </xf>
    <xf borderId="58" fillId="0" fontId="4" numFmtId="0" xfId="0" applyAlignment="1" applyBorder="1" applyFont="1">
      <alignment horizontal="center" vertical="center"/>
    </xf>
    <xf borderId="59" fillId="0" fontId="4" numFmtId="0" xfId="0" applyAlignment="1" applyBorder="1" applyFont="1">
      <alignment horizontal="left" readingOrder="0" vertical="center"/>
    </xf>
    <xf borderId="59" fillId="0" fontId="3" numFmtId="0" xfId="0" applyBorder="1" applyFont="1"/>
    <xf borderId="60" fillId="0" fontId="3" numFmtId="0" xfId="0" applyBorder="1" applyFont="1"/>
    <xf borderId="44" fillId="0" fontId="22" numFmtId="0" xfId="0" applyAlignment="1" applyBorder="1" applyFont="1">
      <alignment horizontal="left" readingOrder="0" vertical="top"/>
    </xf>
    <xf borderId="61" fillId="2" fontId="23" numFmtId="0" xfId="0" applyAlignment="1" applyBorder="1" applyFill="1" applyFont="1">
      <alignment readingOrder="0"/>
    </xf>
    <xf borderId="61" fillId="0" fontId="3" numFmtId="0" xfId="0" applyBorder="1" applyFont="1"/>
    <xf borderId="62" fillId="0" fontId="3" numFmtId="0" xfId="0" applyBorder="1" applyFont="1"/>
    <xf borderId="0" fillId="0" fontId="17" numFmtId="0" xfId="0" applyAlignment="1" applyFont="1">
      <alignment horizontal="center" readingOrder="0" vertical="center"/>
    </xf>
    <xf borderId="0" fillId="0" fontId="19" numFmtId="165" xfId="0" applyAlignment="1" applyFont="1" applyNumberFormat="1">
      <alignment horizontal="center" vertical="center"/>
    </xf>
    <xf borderId="0" fillId="0" fontId="20" numFmtId="165" xfId="0" applyAlignment="1" applyFont="1" applyNumberFormat="1">
      <alignment horizontal="center" vertical="center"/>
    </xf>
    <xf borderId="4" fillId="7" fontId="17" numFmtId="49" xfId="0" applyAlignment="1" applyBorder="1" applyFill="1" applyFont="1" applyNumberFormat="1">
      <alignment horizontal="center" readingOrder="0" vertical="center"/>
    </xf>
    <xf borderId="4" fillId="7" fontId="19" numFmtId="49" xfId="0" applyAlignment="1" applyBorder="1" applyFill="1" applyFont="1" applyNumberFormat="1">
      <alignment horizontal="center" vertical="center"/>
    </xf>
    <xf borderId="4" fillId="0" fontId="8" numFmtId="0" xfId="0" applyAlignment="1" applyBorder="1" applyFont="1">
      <alignment horizontal="center" readingOrder="0"/>
    </xf>
    <xf borderId="4" fillId="7" fontId="19" numFmtId="49" xfId="0" applyAlignment="1" applyBorder="1" applyFill="1" applyFont="1" applyNumberFormat="1">
      <alignment horizontal="center" readingOrder="0" vertical="center"/>
    </xf>
    <xf borderId="7" fillId="7" fontId="19" numFmtId="49" xfId="0" applyAlignment="1" applyBorder="1" applyFill="1" applyFont="1" applyNumberFormat="1">
      <alignment horizontal="center" readingOrder="0" vertical="center"/>
    </xf>
    <xf borderId="0" fillId="7" fontId="20" numFmtId="49" xfId="0" applyAlignment="1" applyFill="1" applyFont="1" applyNumberFormat="1">
      <alignment horizontal="center" vertical="center"/>
    </xf>
    <xf borderId="4" fillId="7" fontId="19" numFmtId="0" xfId="0" applyAlignment="1" applyBorder="1" applyFill="1" applyFont="1">
      <alignment horizontal="center" vertical="center"/>
    </xf>
    <xf borderId="4" fillId="8" fontId="4" numFmtId="0" xfId="0" applyAlignment="1" applyBorder="1" applyFill="1" applyFont="1">
      <alignment horizontal="center" vertical="center"/>
    </xf>
    <xf borderId="63" fillId="0" fontId="9" numFmtId="0" xfId="0" applyAlignment="1" applyBorder="1" applyFont="1">
      <alignment horizontal="center" readingOrder="0"/>
    </xf>
    <xf borderId="64" fillId="0" fontId="3" numFmtId="0" xfId="0" applyBorder="1" applyFont="1"/>
    <xf borderId="16" fillId="0" fontId="8" numFmtId="0" xfId="0" applyAlignment="1" applyBorder="1" applyFont="1">
      <alignment horizontal="left" vertical="bottom"/>
    </xf>
    <xf borderId="0" fillId="8" fontId="5" numFmtId="0" xfId="0" applyAlignment="1" applyFill="1" applyFont="1">
      <alignment horizontal="center" vertical="center"/>
    </xf>
    <xf borderId="4" fillId="0" fontId="24" numFmtId="0" xfId="0" applyAlignment="1" applyBorder="1" applyFont="1">
      <alignment horizontal="center" vertical="bottom"/>
    </xf>
    <xf borderId="44" fillId="0" fontId="25" numFmtId="0" xfId="0" applyAlignment="1" applyBorder="1" applyFont="1">
      <alignment vertical="top"/>
    </xf>
    <xf borderId="16" fillId="0" fontId="4" numFmtId="0" xfId="0" applyAlignment="1" applyBorder="1" applyFont="1">
      <alignment vertical="bottom"/>
    </xf>
    <xf borderId="4" fillId="0" fontId="18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4" fillId="0" fontId="26" numFmtId="0" xfId="0" applyAlignment="1" applyBorder="1" applyFont="1">
      <alignment readingOrder="0" vertical="top"/>
    </xf>
    <xf borderId="18" fillId="0" fontId="8" numFmtId="0" xfId="0" applyAlignment="1" applyBorder="1" applyFont="1">
      <alignment readingOrder="0" vertical="top"/>
    </xf>
    <xf borderId="44" fillId="0" fontId="8" numFmtId="0" xfId="0" applyAlignment="1" applyBorder="1" applyFont="1">
      <alignment vertical="top"/>
    </xf>
    <xf borderId="18" fillId="0" fontId="2" numFmtId="0" xfId="0" applyBorder="1" applyFont="1"/>
    <xf borderId="44" fillId="0" fontId="2" numFmtId="0" xfId="0" applyAlignment="1" applyBorder="1" applyFont="1">
      <alignment vertical="top"/>
    </xf>
    <xf borderId="65" fillId="0" fontId="8" numFmtId="0" xfId="0" applyAlignment="1" applyBorder="1" applyFont="1">
      <alignment horizontal="left" readingOrder="0"/>
    </xf>
    <xf borderId="66" fillId="0" fontId="8" numFmtId="0" xfId="0" applyAlignment="1" applyBorder="1" applyFont="1">
      <alignment readingOrder="0"/>
    </xf>
    <xf borderId="66" fillId="0" fontId="8" numFmtId="0" xfId="0" applyAlignment="1" applyBorder="1" applyFont="1">
      <alignment horizontal="center" readingOrder="0"/>
    </xf>
    <xf borderId="67" fillId="0" fontId="2" numFmtId="0" xfId="0" applyBorder="1" applyFont="1"/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left"/>
    </xf>
    <xf borderId="0" fillId="0" fontId="18" numFmtId="0" xfId="0" applyAlignment="1" applyFont="1">
      <alignment readingOrder="0"/>
    </xf>
    <xf borderId="0" fillId="0" fontId="8" numFmtId="0" xfId="0" applyAlignment="1" applyFont="1">
      <alignment horizontal="center"/>
    </xf>
    <xf borderId="68" fillId="0" fontId="8" numFmtId="0" xfId="0" applyBorder="1" applyFont="1"/>
    <xf borderId="68" fillId="0" fontId="8" numFmtId="0" xfId="0" applyAlignment="1" applyBorder="1" applyFont="1">
      <alignment horizontal="center"/>
    </xf>
    <xf borderId="44" fillId="0" fontId="2" numFmtId="0" xfId="0" applyBorder="1" applyFont="1"/>
    <xf borderId="0" fillId="0" fontId="2" numFmtId="0" xfId="0" applyAlignment="1" applyFont="1">
      <alignment readingOrder="0"/>
    </xf>
    <xf borderId="63" fillId="0" fontId="8" numFmtId="0" xfId="0" applyAlignment="1" applyBorder="1" applyFont="1">
      <alignment horizontal="left" readingOrder="0"/>
    </xf>
    <xf borderId="0" fillId="3" fontId="2" numFmtId="0" xfId="0" applyFill="1" applyFont="1"/>
    <xf borderId="63" fillId="0" fontId="8" numFmtId="0" xfId="0" applyAlignment="1" applyBorder="1" applyFont="1">
      <alignment horizontal="left"/>
    </xf>
    <xf borderId="0" fillId="0" fontId="4" numFmtId="0" xfId="0" applyAlignment="1" applyFont="1">
      <alignment horizontal="center" vertical="center"/>
    </xf>
    <xf borderId="4" fillId="9" fontId="17" numFmtId="49" xfId="0" applyAlignment="1" applyBorder="1" applyFill="1" applyFont="1" applyNumberFormat="1">
      <alignment horizontal="center" readingOrder="0" vertical="center"/>
    </xf>
    <xf borderId="4" fillId="9" fontId="19" numFmtId="49" xfId="0" applyAlignment="1" applyBorder="1" applyFill="1" applyFont="1" applyNumberFormat="1">
      <alignment horizontal="center" vertical="center"/>
    </xf>
    <xf borderId="4" fillId="9" fontId="19" numFmtId="49" xfId="0" applyAlignment="1" applyBorder="1" applyFill="1" applyFont="1" applyNumberFormat="1">
      <alignment horizontal="center" readingOrder="0" vertical="center"/>
    </xf>
    <xf borderId="7" fillId="9" fontId="19" numFmtId="49" xfId="0" applyAlignment="1" applyBorder="1" applyFill="1" applyFont="1" applyNumberFormat="1">
      <alignment horizontal="center" readingOrder="0" vertical="center"/>
    </xf>
    <xf borderId="0" fillId="9" fontId="20" numFmtId="49" xfId="0" applyAlignment="1" applyFill="1" applyFont="1" applyNumberFormat="1">
      <alignment horizontal="center" vertical="center"/>
    </xf>
    <xf borderId="4" fillId="9" fontId="19" numFmtId="0" xfId="0" applyAlignment="1" applyBorder="1" applyFill="1" applyFont="1">
      <alignment horizontal="center" vertical="center"/>
    </xf>
    <xf borderId="69" fillId="0" fontId="8" numFmtId="0" xfId="0" applyAlignment="1" applyBorder="1" applyFont="1">
      <alignment horizontal="left"/>
    </xf>
    <xf borderId="66" fillId="0" fontId="18" numFmtId="0" xfId="0" applyAlignment="1" applyBorder="1" applyFont="1">
      <alignment readingOrder="0"/>
    </xf>
    <xf borderId="66" fillId="0" fontId="8" numFmtId="0" xfId="0" applyAlignment="1" applyBorder="1" applyFont="1">
      <alignment horizontal="center"/>
    </xf>
    <xf borderId="67" fillId="0" fontId="3" numFmtId="0" xfId="0" applyBorder="1" applyFont="1"/>
    <xf borderId="4" fillId="10" fontId="4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readingOrder="0" vertical="bottom"/>
    </xf>
    <xf borderId="0" fillId="0" fontId="18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10" fontId="5" numFmtId="0" xfId="0" applyAlignment="1" applyFill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209550</xdr:rowOff>
    </xdr:from>
    <xdr:ext cx="1114425" cy="10191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781050</xdr:colOff>
      <xdr:row>1</xdr:row>
      <xdr:rowOff>95250</xdr:rowOff>
    </xdr:from>
    <xdr:ext cx="1247775" cy="12477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685800</xdr:colOff>
      <xdr:row>0</xdr:row>
      <xdr:rowOff>85725</xdr:rowOff>
    </xdr:from>
    <xdr:ext cx="1438275" cy="2762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5dRGRueKU3M" TargetMode="External"/><Relationship Id="rId11" Type="http://schemas.openxmlformats.org/officeDocument/2006/relationships/hyperlink" Target="https://docs.google.com/document/d/1IHj50O7jBa6MqSoIOOFWIRbX_R_7haRjT_bclh8SfMI/edit?usp=sharing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www.youtube.com/watch?v=u7YMFRUFqe0" TargetMode="External"/><Relationship Id="rId21" Type="http://schemas.openxmlformats.org/officeDocument/2006/relationships/hyperlink" Target="https://docs.google.com/document/d/1ItxjA0R5Mu7U-Iz-Xfa5CWNpXwprgzIbKd72qpMHX7A/edit?usp=sharing" TargetMode="External"/><Relationship Id="rId13" Type="http://schemas.openxmlformats.org/officeDocument/2006/relationships/hyperlink" Target="https://docs.google.com/document/d/1IHj50O7jBa6MqSoIOOFWIRbX_R_7haRjT_bclh8SfMI/edit?usp=sharing" TargetMode="External"/><Relationship Id="rId12" Type="http://schemas.openxmlformats.org/officeDocument/2006/relationships/hyperlink" Target="https://youtu.be/RYZ2sjX92ZM" TargetMode="External"/><Relationship Id="rId1" Type="http://schemas.openxmlformats.org/officeDocument/2006/relationships/hyperlink" Target="https://docs.google.com/document/d/1mGuxmRagcMdqdYCP2iDdynb4adXLfRHLMA61DIjP1zc/edit?usp=sharing" TargetMode="External"/><Relationship Id="rId2" Type="http://schemas.openxmlformats.org/officeDocument/2006/relationships/hyperlink" Target="https://docs.google.com/document/d/1HxfbFFxNN-loJi8eN2NR8IJ0Qkzdp37dS0nnKfkHJPE/edit?usp=sharing" TargetMode="External"/><Relationship Id="rId3" Type="http://schemas.openxmlformats.org/officeDocument/2006/relationships/hyperlink" Target="https://docs.google.com/document/d/1YTU-QEBQdWt9B3sT_PPAGoXmo3PoY9mLw8mtH_FI13Q/edit?usp=sharing" TargetMode="External"/><Relationship Id="rId4" Type="http://schemas.openxmlformats.org/officeDocument/2006/relationships/hyperlink" Target="https://docs.google.com/document/d/1j7izv2Ovp-JYqUI08F_Vq2bGVAW2w0DsBYcqHtom-Sk/edit?usp=sharing" TargetMode="External"/><Relationship Id="rId9" Type="http://schemas.openxmlformats.org/officeDocument/2006/relationships/hyperlink" Target="https://docs.google.com/document/d/1reBPZd-82sk-tH2sjRyEiAHDcBEc9RLwaOjjVuwfKtk/edit?usp=sharing" TargetMode="External"/><Relationship Id="rId15" Type="http://schemas.openxmlformats.org/officeDocument/2006/relationships/hyperlink" Target="https://docs.google.com/document/d/1XYL3GsC6CFz_trBz7R6YyQjL4etPlJzPaiGhiV68IQo/edit?usp=sharing" TargetMode="External"/><Relationship Id="rId14" Type="http://schemas.openxmlformats.org/officeDocument/2006/relationships/hyperlink" Target="https://youtu.be/RYZ2sjX92ZM" TargetMode="External"/><Relationship Id="rId17" Type="http://schemas.openxmlformats.org/officeDocument/2006/relationships/hyperlink" Target="https://docs.google.com/document/d/1MXQyyUiHWAXWA8YDnClAhb18DWiCbLve0bIZ9eP6Y00/edit?usp=sharing" TargetMode="External"/><Relationship Id="rId16" Type="http://schemas.openxmlformats.org/officeDocument/2006/relationships/hyperlink" Target="https://www.youtube.com/watch?v=pVfj6mxhdMw&amp;t=183s" TargetMode="External"/><Relationship Id="rId5" Type="http://schemas.openxmlformats.org/officeDocument/2006/relationships/hyperlink" Target="https://docs.google.com/document/d/1ASM06gkRY_8nmXuVcSWclJOJofnAkIisujo8hYxOh0w/edit?usp=sharing" TargetMode="External"/><Relationship Id="rId19" Type="http://schemas.openxmlformats.org/officeDocument/2006/relationships/hyperlink" Target="https://docs.google.com/document/d/1pJ9wMse44iQbnTIv-k8WnfDxIJsgU0jQ91vHhXHAZlQ/edit?usp=sharing" TargetMode="External"/><Relationship Id="rId6" Type="http://schemas.openxmlformats.org/officeDocument/2006/relationships/hyperlink" Target="https://youtu.be/xp0Ov5awnYw?feature=shared" TargetMode="External"/><Relationship Id="rId18" Type="http://schemas.openxmlformats.org/officeDocument/2006/relationships/hyperlink" Target="https://www.youtube.com/watch?v=aOcNCY4KYUg" TargetMode="External"/><Relationship Id="rId7" Type="http://schemas.openxmlformats.org/officeDocument/2006/relationships/hyperlink" Target="https://docs.google.com/document/d/1xHDUld5Ym7XuyKQlhG5rDCERMzavOLdZBXWTrTNCiUU/edit?usp=sharing" TargetMode="External"/><Relationship Id="rId8" Type="http://schemas.openxmlformats.org/officeDocument/2006/relationships/hyperlink" Target="https://youtu.be/l4h61Dtsrx4?feature=shared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AazuVmGg-9gax0uQflQKo9w0ehGr0qYYvAiEA0AWthc/edit?usp=sharing" TargetMode="External"/><Relationship Id="rId10" Type="http://schemas.openxmlformats.org/officeDocument/2006/relationships/hyperlink" Target="https://docs.google.com/document/d/1_aT1h2WSzPrdc8WDv-4Teckp9WbeGfqpE-IQOMFJp70/edit?usp=sharing" TargetMode="External"/><Relationship Id="rId13" Type="http://schemas.openxmlformats.org/officeDocument/2006/relationships/hyperlink" Target="https://docs.google.com/document/d/1fyNLBAyiEGawqxTdFXskxEndHm29Zirzj0dSjJdx9SQ/edit?usp=sharing" TargetMode="External"/><Relationship Id="rId12" Type="http://schemas.openxmlformats.org/officeDocument/2006/relationships/hyperlink" Target="https://docs.google.com/document/d/1_QzGA5a5qYz-mBNkUD_M_HDFNBJjKKSLRZkVf0pRX3k/edit?usp=sharing" TargetMode="External"/><Relationship Id="rId1" Type="http://schemas.openxmlformats.org/officeDocument/2006/relationships/hyperlink" Target="https://docs.google.com/document/d/19B5yDehXJlBb10dID0RIlsgXQ39VGpqtXXfTUCoqcEk/edit?usp=sharing" TargetMode="External"/><Relationship Id="rId2" Type="http://schemas.openxmlformats.org/officeDocument/2006/relationships/hyperlink" Target="https://docs.google.com/document/d/17kogRNdjqfDAt7uKpX19teCa11e-wLEqXp5wilDe1IY/edit?usp=sharing" TargetMode="External"/><Relationship Id="rId3" Type="http://schemas.openxmlformats.org/officeDocument/2006/relationships/hyperlink" Target="https://docs.google.com/document/d/13LyEEFCAyaHPaSD4141n6CLxUXutTM_G3CFDAqmBHc8/edit?usp=sharing" TargetMode="External"/><Relationship Id="rId4" Type="http://schemas.openxmlformats.org/officeDocument/2006/relationships/hyperlink" Target="https://docs.google.com/document/d/1dPIkjuFBhWAOBoWVoaN13aJKEuBFo8838yysIjmYov4/edit?tab=t.0" TargetMode="External"/><Relationship Id="rId9" Type="http://schemas.openxmlformats.org/officeDocument/2006/relationships/hyperlink" Target="https://youtu.be/aJdis-YxV6Q" TargetMode="External"/><Relationship Id="rId15" Type="http://schemas.openxmlformats.org/officeDocument/2006/relationships/hyperlink" Target="https://drive.google.com/drive/folders/1K45m71IzDyA9WbiEv5L8OXR2W-0vfHoz?usp=sharing" TargetMode="External"/><Relationship Id="rId14" Type="http://schemas.openxmlformats.org/officeDocument/2006/relationships/hyperlink" Target="https://docs.google.com/document/d/1jJ9gev9icKfStaaV6OikY-kFGyfm8xejfCoyQFd8-B0/edit?usp=sharing" TargetMode="External"/><Relationship Id="rId17" Type="http://schemas.openxmlformats.org/officeDocument/2006/relationships/hyperlink" Target="https://docs.google.com/document/d/1-snORQOrUe4Mlig6yFnqufFUO8fiIsIB0YCN8VxR7-k/edit?tab=t.0" TargetMode="External"/><Relationship Id="rId16" Type="http://schemas.openxmlformats.org/officeDocument/2006/relationships/hyperlink" Target="https://docs.google.com/document/d/1QHamGH5MYEKGJ5hK3Ub44BxbIhgDfLoiC4F2cP0l4_Q/edit?usp=sharing" TargetMode="External"/><Relationship Id="rId5" Type="http://schemas.openxmlformats.org/officeDocument/2006/relationships/hyperlink" Target="https://docs.google.com/document/d/13LyEEFCAyaHPaSD4141n6CLxUXutTM_G3CFDAqmBHc8/edit?usp=sharing" TargetMode="External"/><Relationship Id="rId6" Type="http://schemas.openxmlformats.org/officeDocument/2006/relationships/hyperlink" Target="https://docs.google.com/document/d/1RSiWNYSIOulh1S--QHtFaJJRjeeczKwusFZn8ACtwH4/edit?usp=sharing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youtu.be/peuj7p5BIhA" TargetMode="External"/><Relationship Id="rId8" Type="http://schemas.openxmlformats.org/officeDocument/2006/relationships/hyperlink" Target="https://docs.google.com/document/d/10ngNZ8BnAwAWg4HN-fafPFjP9tLD8J79yDj1DJptLC4/edit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fhLSvDQ1PXNM2m979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6" width="22.5"/>
    <col customWidth="1" min="7" max="7" width="12.0"/>
  </cols>
  <sheetData>
    <row r="2">
      <c r="B2" s="1" t="s">
        <v>0</v>
      </c>
      <c r="C2" s="3"/>
      <c r="D2" s="3"/>
      <c r="E2" s="3"/>
      <c r="F2" s="5"/>
    </row>
    <row r="3">
      <c r="B3" s="7" t="s">
        <v>1</v>
      </c>
      <c r="C3" s="11" t="s">
        <v>4</v>
      </c>
      <c r="D3" s="12"/>
      <c r="E3" s="12"/>
      <c r="F3" s="15"/>
    </row>
    <row r="4">
      <c r="B4" s="7" t="s">
        <v>5</v>
      </c>
      <c r="C4" s="11" t="s">
        <v>7</v>
      </c>
      <c r="D4" s="12"/>
      <c r="E4" s="12"/>
      <c r="F4" s="15"/>
    </row>
    <row r="5">
      <c r="B5" s="7" t="s">
        <v>8</v>
      </c>
      <c r="C5" s="11" t="s">
        <v>9</v>
      </c>
      <c r="D5" s="12"/>
      <c r="E5" s="12"/>
      <c r="F5" s="15"/>
    </row>
    <row r="6">
      <c r="B6" s="23" t="s">
        <v>11</v>
      </c>
      <c r="C6" s="29" t="s">
        <v>13</v>
      </c>
      <c r="D6" s="12"/>
      <c r="E6" s="12"/>
      <c r="F6" s="15"/>
    </row>
    <row r="7">
      <c r="B7" s="35" t="s">
        <v>17</v>
      </c>
      <c r="C7" s="37"/>
      <c r="D7" s="37"/>
      <c r="E7" s="37"/>
      <c r="F7" s="39"/>
    </row>
    <row r="8">
      <c r="B8" s="40"/>
      <c r="F8" s="42"/>
    </row>
    <row r="9">
      <c r="B9" s="40"/>
      <c r="F9" s="42"/>
    </row>
    <row r="10">
      <c r="B10" s="40"/>
      <c r="F10" s="42"/>
    </row>
    <row r="11">
      <c r="B11" s="40"/>
      <c r="F11" s="42"/>
    </row>
    <row r="12">
      <c r="B12" s="40"/>
      <c r="F12" s="42"/>
    </row>
    <row r="13">
      <c r="B13" s="40"/>
      <c r="F13" s="42"/>
    </row>
    <row r="14">
      <c r="B14" s="40"/>
      <c r="F14" s="42"/>
    </row>
    <row r="15">
      <c r="B15" s="40"/>
      <c r="F15" s="42"/>
    </row>
    <row r="16">
      <c r="B16" s="46"/>
      <c r="C16" s="47"/>
      <c r="D16" s="47"/>
      <c r="E16" s="47"/>
      <c r="F16" s="49"/>
    </row>
    <row r="17" ht="55.5" customHeight="1"/>
  </sheetData>
  <mergeCells count="8">
    <mergeCell ref="B1:F1"/>
    <mergeCell ref="B2:F2"/>
    <mergeCell ref="C3:F3"/>
    <mergeCell ref="C4:F4"/>
    <mergeCell ref="C5:F5"/>
    <mergeCell ref="C6:F6"/>
    <mergeCell ref="B7:F16"/>
    <mergeCell ref="B17:F17"/>
  </mergeCells>
  <hyperlinks>
    <hyperlink display="Consultation Hours" location="Consultation!A1" ref="C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13"/>
    <col customWidth="1" min="2" max="2" width="8.88"/>
    <col customWidth="1" min="3" max="3" width="66.25"/>
    <col customWidth="1" min="4" max="4" width="33.25"/>
    <col customWidth="1" min="5" max="5" width="83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2</v>
      </c>
      <c r="C2" s="3"/>
      <c r="D2" s="3"/>
      <c r="E2" s="1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3"/>
      <c r="C3" s="16"/>
      <c r="D3" s="2"/>
      <c r="E3" s="1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"/>
      <c r="B4" s="22" t="s">
        <v>10</v>
      </c>
      <c r="C4" s="24" t="s">
        <v>12</v>
      </c>
      <c r="D4" s="25" t="s">
        <v>14</v>
      </c>
      <c r="E4" s="27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0"/>
      <c r="B5" s="30"/>
      <c r="C5" s="31"/>
      <c r="D5" s="33"/>
      <c r="E5" s="3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0"/>
      <c r="B6" s="43">
        <v>0.0</v>
      </c>
      <c r="C6" s="45" t="s">
        <v>19</v>
      </c>
      <c r="D6" s="56" t="s">
        <v>21</v>
      </c>
      <c r="E6" s="3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0"/>
      <c r="B7" s="59"/>
      <c r="C7" s="33"/>
      <c r="D7" s="61"/>
      <c r="E7" s="3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0"/>
      <c r="B8" s="63">
        <v>1.0</v>
      </c>
      <c r="C8" s="65" t="s">
        <v>31</v>
      </c>
      <c r="D8" s="56" t="s">
        <v>32</v>
      </c>
      <c r="E8" s="7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/>
      <c r="B9" s="59"/>
      <c r="C9" s="78" t="s">
        <v>36</v>
      </c>
      <c r="D9" s="61"/>
      <c r="E9" s="8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/>
      <c r="B10" s="82"/>
      <c r="C10" s="33"/>
      <c r="D10" s="61"/>
      <c r="E10" s="3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/>
      <c r="B11" s="63">
        <v>2.0</v>
      </c>
      <c r="C11" s="65" t="s">
        <v>47</v>
      </c>
      <c r="D11" s="56" t="s">
        <v>48</v>
      </c>
      <c r="E11" s="95" t="s">
        <v>52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/>
      <c r="B12" s="59"/>
      <c r="C12" s="97" t="s">
        <v>57</v>
      </c>
      <c r="D12" s="61"/>
      <c r="E12" s="8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/>
      <c r="B13" s="82"/>
      <c r="C13" s="33"/>
      <c r="D13" s="61"/>
      <c r="E13" s="3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/>
      <c r="B14" s="63">
        <v>3.0</v>
      </c>
      <c r="C14" s="65" t="s">
        <v>63</v>
      </c>
      <c r="D14" s="56" t="s">
        <v>64</v>
      </c>
      <c r="E14" s="95" t="s">
        <v>70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/>
      <c r="B15" s="59"/>
      <c r="C15" s="78" t="s">
        <v>71</v>
      </c>
      <c r="D15" s="61"/>
      <c r="E15" s="8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0"/>
      <c r="B16" s="82"/>
      <c r="C16" s="33"/>
      <c r="D16" s="61"/>
      <c r="E16" s="3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0"/>
      <c r="B17" s="63">
        <v>4.0</v>
      </c>
      <c r="C17" s="65" t="s">
        <v>74</v>
      </c>
      <c r="D17" s="56" t="s">
        <v>75</v>
      </c>
      <c r="E17" s="95" t="s">
        <v>77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0"/>
      <c r="B18" s="59"/>
      <c r="C18" s="78" t="s">
        <v>81</v>
      </c>
      <c r="D18" s="115"/>
      <c r="E18" s="8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0"/>
      <c r="B19" s="82"/>
      <c r="C19" s="33"/>
      <c r="D19" s="61"/>
      <c r="E19" s="3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"/>
      <c r="B20" s="63">
        <v>5.0</v>
      </c>
      <c r="C20" s="65" t="s">
        <v>83</v>
      </c>
      <c r="D20" s="56" t="s">
        <v>84</v>
      </c>
      <c r="E20" s="95" t="s">
        <v>86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0"/>
      <c r="B21" s="59"/>
      <c r="C21" s="78" t="s">
        <v>88</v>
      </c>
      <c r="D21" s="61"/>
      <c r="E21" s="8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0"/>
      <c r="B22" s="82"/>
      <c r="C22" s="33"/>
      <c r="D22" s="61"/>
      <c r="E22" s="3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0"/>
      <c r="B23" s="121" t="s">
        <v>89</v>
      </c>
      <c r="C23" s="12"/>
      <c r="D23" s="12"/>
      <c r="E23" s="12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0"/>
      <c r="B24" s="82"/>
      <c r="C24" s="33"/>
      <c r="D24" s="61"/>
      <c r="E24" s="3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0"/>
      <c r="B25" s="123">
        <v>7.0</v>
      </c>
      <c r="C25" s="31" t="s">
        <v>92</v>
      </c>
      <c r="D25" s="125" t="s">
        <v>93</v>
      </c>
      <c r="E25" s="126" t="s">
        <v>95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"/>
      <c r="B26" s="127"/>
      <c r="C26" s="128" t="s">
        <v>97</v>
      </c>
      <c r="D26" s="129"/>
      <c r="E26" s="8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0"/>
      <c r="B27" s="82"/>
      <c r="C27" s="33"/>
      <c r="D27" s="61"/>
      <c r="E27" s="3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0"/>
      <c r="B28" s="63">
        <v>7.0</v>
      </c>
      <c r="C28" s="65" t="s">
        <v>100</v>
      </c>
      <c r="D28" s="56" t="s">
        <v>93</v>
      </c>
      <c r="E28" s="130" t="s">
        <v>95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0"/>
      <c r="B29" s="59"/>
      <c r="C29" s="78" t="s">
        <v>103</v>
      </c>
      <c r="D29" s="61"/>
      <c r="E29" s="8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0"/>
      <c r="B30" s="59"/>
      <c r="C30" s="78"/>
      <c r="D30" s="61"/>
      <c r="E30" s="13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63">
        <v>8.0</v>
      </c>
      <c r="C31" s="65" t="s">
        <v>104</v>
      </c>
      <c r="D31" s="56" t="s">
        <v>105</v>
      </c>
      <c r="E31" s="95" t="s">
        <v>107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59"/>
      <c r="C32" s="78" t="s">
        <v>109</v>
      </c>
      <c r="D32" s="61"/>
      <c r="E32" s="8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82"/>
      <c r="C33" s="33"/>
      <c r="D33" s="61"/>
      <c r="E33" s="13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63">
        <v>9.0</v>
      </c>
      <c r="C34" s="65" t="s">
        <v>111</v>
      </c>
      <c r="D34" s="56" t="s">
        <v>113</v>
      </c>
      <c r="E34" s="130" t="s">
        <v>115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59"/>
      <c r="C35" s="78" t="s">
        <v>117</v>
      </c>
      <c r="D35" s="61"/>
      <c r="E35" s="8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82"/>
      <c r="C36" s="33"/>
      <c r="D36" s="61"/>
      <c r="E36" s="13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63">
        <v>10.0</v>
      </c>
      <c r="C37" s="65" t="s">
        <v>118</v>
      </c>
      <c r="D37" s="56" t="s">
        <v>119</v>
      </c>
      <c r="E37" s="95" t="s">
        <v>123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59"/>
      <c r="C38" s="78" t="s">
        <v>125</v>
      </c>
      <c r="D38" s="61"/>
      <c r="E38" s="8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63"/>
      <c r="C39" s="65"/>
      <c r="D39" s="115"/>
      <c r="E39" s="7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63">
        <v>11.0</v>
      </c>
      <c r="C40" s="65" t="s">
        <v>127</v>
      </c>
      <c r="D40" s="56" t="s">
        <v>128</v>
      </c>
      <c r="E40" s="7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59"/>
      <c r="C41" s="78" t="s">
        <v>131</v>
      </c>
      <c r="D41" s="61"/>
      <c r="E41" s="8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35"/>
      <c r="C42" s="136"/>
      <c r="D42" s="137"/>
      <c r="E42" s="13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39"/>
      <c r="C44" s="140"/>
      <c r="D44" s="141"/>
      <c r="E44" s="14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43"/>
      <c r="C45" s="144"/>
      <c r="D45" s="14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149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15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15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4">
    <mergeCell ref="E25:E26"/>
    <mergeCell ref="E28:E29"/>
    <mergeCell ref="E31:E32"/>
    <mergeCell ref="E34:E35"/>
    <mergeCell ref="E37:E38"/>
    <mergeCell ref="E40:E41"/>
    <mergeCell ref="E44:E45"/>
    <mergeCell ref="B2:E2"/>
    <mergeCell ref="E8:E9"/>
    <mergeCell ref="E11:E12"/>
    <mergeCell ref="E14:E15"/>
    <mergeCell ref="E17:E18"/>
    <mergeCell ref="E20:E21"/>
    <mergeCell ref="B23:E23"/>
  </mergeCells>
  <hyperlinks>
    <hyperlink r:id="rId1" ref="D6"/>
    <hyperlink r:id="rId2" ref="D8"/>
    <hyperlink r:id="rId3" ref="D11"/>
    <hyperlink r:id="rId4" ref="E11"/>
    <hyperlink r:id="rId5" ref="D14"/>
    <hyperlink r:id="rId6" ref="E14"/>
    <hyperlink r:id="rId7" ref="D17"/>
    <hyperlink r:id="rId8" ref="E17"/>
    <hyperlink r:id="rId9" ref="D20"/>
    <hyperlink r:id="rId10" ref="E20"/>
    <hyperlink r:id="rId11" ref="D25"/>
    <hyperlink r:id="rId12" ref="E25"/>
    <hyperlink r:id="rId13" ref="D28"/>
    <hyperlink r:id="rId14" ref="E28"/>
    <hyperlink r:id="rId15" ref="D31"/>
    <hyperlink r:id="rId16" ref="E31"/>
    <hyperlink r:id="rId17" ref="D34"/>
    <hyperlink r:id="rId18" ref="E34"/>
    <hyperlink r:id="rId19" ref="D37"/>
    <hyperlink r:id="rId20" ref="E37"/>
    <hyperlink r:id="rId21" ref="D40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13"/>
    <col customWidth="1" min="2" max="2" width="8.88"/>
    <col customWidth="1" min="3" max="3" width="66.0"/>
    <col customWidth="1" min="4" max="4" width="33.25"/>
    <col customWidth="1" min="5" max="5" width="83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9" t="s">
        <v>3</v>
      </c>
      <c r="C2" s="3"/>
      <c r="D2" s="3"/>
      <c r="E2" s="1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3"/>
      <c r="C3" s="16"/>
      <c r="D3" s="2"/>
      <c r="E3" s="1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0"/>
      <c r="B4" s="22"/>
      <c r="C4" s="24" t="s">
        <v>12</v>
      </c>
      <c r="D4" s="25" t="s">
        <v>14</v>
      </c>
      <c r="E4" s="27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0"/>
      <c r="B5" s="30"/>
      <c r="C5" s="31"/>
      <c r="D5" s="33"/>
      <c r="E5" s="3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0"/>
      <c r="B6" s="43"/>
      <c r="C6" s="45" t="s">
        <v>18</v>
      </c>
      <c r="D6" s="56" t="s">
        <v>20</v>
      </c>
      <c r="E6" s="3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0"/>
      <c r="B7" s="59"/>
      <c r="C7" s="33"/>
      <c r="D7" s="61"/>
      <c r="E7" s="3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0"/>
      <c r="B8" s="63"/>
      <c r="C8" s="65" t="s">
        <v>34</v>
      </c>
      <c r="D8" s="56" t="s">
        <v>35</v>
      </c>
      <c r="E8" s="95" t="s">
        <v>49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/>
      <c r="B9" s="59"/>
      <c r="C9" s="78" t="s">
        <v>62</v>
      </c>
      <c r="D9" s="61"/>
      <c r="E9" s="8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/>
      <c r="B10" s="82"/>
      <c r="C10" s="33"/>
      <c r="D10" s="61"/>
      <c r="E10" s="3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/>
      <c r="B11" s="63"/>
      <c r="C11" s="65" t="s">
        <v>68</v>
      </c>
      <c r="D11" s="56" t="s">
        <v>69</v>
      </c>
      <c r="E11" s="106" t="s">
        <v>73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/>
      <c r="B12" s="59"/>
      <c r="C12" s="97" t="s">
        <v>76</v>
      </c>
      <c r="D12" s="61"/>
      <c r="E12" s="8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/>
      <c r="B13" s="82"/>
      <c r="C13" s="33"/>
      <c r="D13" s="61"/>
      <c r="E13" s="3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/>
      <c r="B14" s="63"/>
      <c r="C14" s="65" t="s">
        <v>79</v>
      </c>
      <c r="D14" s="56" t="s">
        <v>80</v>
      </c>
      <c r="E14" s="95" t="s">
        <v>85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/>
      <c r="B15" s="59"/>
      <c r="C15" s="78" t="s">
        <v>87</v>
      </c>
      <c r="D15" s="61"/>
      <c r="E15" s="8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0"/>
      <c r="B16" s="82"/>
      <c r="C16" s="33"/>
      <c r="D16" s="61"/>
      <c r="E16" s="3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0"/>
      <c r="B17" s="63"/>
      <c r="C17" s="65" t="s">
        <v>90</v>
      </c>
      <c r="D17" s="56" t="s">
        <v>91</v>
      </c>
      <c r="E17" s="95" t="s">
        <v>96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0"/>
      <c r="B18" s="59"/>
      <c r="C18" s="78" t="s">
        <v>98</v>
      </c>
      <c r="D18" s="61"/>
      <c r="E18" s="8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0"/>
      <c r="B19" s="82"/>
      <c r="C19" s="33"/>
      <c r="D19" s="61"/>
      <c r="E19" s="3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"/>
      <c r="B20" s="63"/>
      <c r="C20" s="65" t="s">
        <v>101</v>
      </c>
      <c r="D20" s="56" t="s">
        <v>102</v>
      </c>
      <c r="E20" s="13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0"/>
      <c r="B21" s="59"/>
      <c r="C21" s="78" t="s">
        <v>106</v>
      </c>
      <c r="D21" s="61"/>
      <c r="E21" s="8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0"/>
      <c r="B22" s="82"/>
      <c r="C22" s="33"/>
      <c r="D22" s="61"/>
      <c r="E22" s="3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0"/>
      <c r="B23" s="121" t="s">
        <v>89</v>
      </c>
      <c r="C23" s="12"/>
      <c r="D23" s="12"/>
      <c r="E23" s="12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0"/>
      <c r="B24" s="82"/>
      <c r="C24" s="33"/>
      <c r="D24" s="61"/>
      <c r="E24" s="3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0"/>
      <c r="B25" s="63"/>
      <c r="C25" s="65" t="s">
        <v>110</v>
      </c>
      <c r="D25" s="56" t="s">
        <v>112</v>
      </c>
      <c r="E25" s="95" t="s">
        <v>116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0"/>
      <c r="B26" s="59"/>
      <c r="C26" s="78" t="s">
        <v>120</v>
      </c>
      <c r="D26" s="61"/>
      <c r="E26" s="8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0"/>
      <c r="B27" s="82"/>
      <c r="C27" s="33"/>
      <c r="D27" s="61"/>
      <c r="E27" s="13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0"/>
      <c r="B28" s="63"/>
      <c r="C28" s="65" t="s">
        <v>121</v>
      </c>
      <c r="D28" s="56" t="s">
        <v>122</v>
      </c>
      <c r="E28" s="13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0"/>
      <c r="B29" s="59"/>
      <c r="C29" s="78" t="s">
        <v>126</v>
      </c>
      <c r="D29" s="61"/>
      <c r="E29" s="8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0"/>
      <c r="B30" s="82"/>
      <c r="C30" s="33"/>
      <c r="D30" s="61"/>
      <c r="E30" s="13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63"/>
      <c r="C31" s="65" t="s">
        <v>129</v>
      </c>
      <c r="D31" s="56" t="s">
        <v>130</v>
      </c>
      <c r="E31" s="130" t="s">
        <v>132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59"/>
      <c r="C32" s="78" t="s">
        <v>134</v>
      </c>
      <c r="D32" s="61"/>
      <c r="E32" s="8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82"/>
      <c r="C33" s="146"/>
      <c r="D33" s="147"/>
      <c r="E33" s="14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50"/>
      <c r="C34" s="65" t="s">
        <v>135</v>
      </c>
      <c r="D34" s="56" t="s">
        <v>136</v>
      </c>
      <c r="E34" s="13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52"/>
      <c r="C35" s="78" t="s">
        <v>137</v>
      </c>
      <c r="D35" s="61"/>
      <c r="E35" s="8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82"/>
      <c r="C36" s="146"/>
      <c r="D36" s="147"/>
      <c r="E36" s="14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63"/>
      <c r="C37" s="65" t="s">
        <v>138</v>
      </c>
      <c r="D37" s="56" t="s">
        <v>139</v>
      </c>
      <c r="E37" s="13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60"/>
      <c r="C38" s="161" t="s">
        <v>141</v>
      </c>
      <c r="D38" s="162"/>
      <c r="E38" s="16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0"/>
      <c r="D39" s="2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0"/>
      <c r="E41" s="16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166"/>
      <c r="D42" s="167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39"/>
      <c r="C43" s="168"/>
      <c r="D43" s="169"/>
      <c r="E43" s="14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43"/>
      <c r="C44" s="144"/>
      <c r="D44" s="145"/>
      <c r="E44" s="14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2">
    <mergeCell ref="E25:E26"/>
    <mergeCell ref="E28:E29"/>
    <mergeCell ref="E31:E32"/>
    <mergeCell ref="E34:E35"/>
    <mergeCell ref="E37:E38"/>
    <mergeCell ref="B2:E2"/>
    <mergeCell ref="E8:E9"/>
    <mergeCell ref="E11:E12"/>
    <mergeCell ref="E14:E15"/>
    <mergeCell ref="E17:E18"/>
    <mergeCell ref="E20:E21"/>
    <mergeCell ref="B23:E23"/>
  </mergeCells>
  <hyperlinks>
    <hyperlink r:id="rId1" ref="D6"/>
    <hyperlink r:id="rId2" ref="D8"/>
    <hyperlink r:id="rId3" ref="E8"/>
    <hyperlink r:id="rId4" location="heading=h.hvwxtdns6ful" ref="D11"/>
    <hyperlink r:id="rId5" ref="E11"/>
    <hyperlink r:id="rId6" ref="D14"/>
    <hyperlink r:id="rId7" ref="E14"/>
    <hyperlink r:id="rId8" ref="D17"/>
    <hyperlink r:id="rId9" ref="E17"/>
    <hyperlink r:id="rId10" ref="D20"/>
    <hyperlink r:id="rId11" ref="D25"/>
    <hyperlink r:id="rId12" ref="E25"/>
    <hyperlink r:id="rId13" ref="D28"/>
    <hyperlink r:id="rId14" ref="D31"/>
    <hyperlink r:id="rId15" ref="E31"/>
    <hyperlink r:id="rId16" ref="D34"/>
    <hyperlink r:id="rId17" location="heading=h.srfrkunb8tmn" ref="D37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0" width="16.63"/>
    <col hidden="1" min="11" max="11" width="12.63"/>
  </cols>
  <sheetData>
    <row r="1">
      <c r="A1" s="4"/>
      <c r="K1" s="6"/>
    </row>
    <row r="2">
      <c r="A2" s="14"/>
      <c r="B2" s="18" t="s">
        <v>6</v>
      </c>
      <c r="C2" s="19"/>
      <c r="D2" s="19"/>
      <c r="E2" s="19"/>
      <c r="F2" s="19"/>
      <c r="G2" s="19"/>
      <c r="H2" s="19"/>
      <c r="I2" s="21"/>
      <c r="J2" s="26"/>
      <c r="K2" s="6"/>
    </row>
    <row r="3">
      <c r="A3" s="28"/>
      <c r="B3" s="32" t="s">
        <v>16</v>
      </c>
      <c r="C3" s="34"/>
      <c r="D3" s="34"/>
      <c r="E3" s="34"/>
      <c r="F3" s="34"/>
      <c r="G3" s="34"/>
      <c r="H3" s="34"/>
      <c r="I3" s="38"/>
      <c r="J3" s="41"/>
      <c r="K3" s="6"/>
    </row>
    <row r="4">
      <c r="A4" s="28"/>
      <c r="B4" s="44"/>
      <c r="C4" s="48" t="s">
        <v>22</v>
      </c>
      <c r="D4" s="50" t="s">
        <v>23</v>
      </c>
      <c r="E4" s="51"/>
      <c r="F4" s="52" t="s">
        <v>24</v>
      </c>
      <c r="G4" s="50" t="s">
        <v>25</v>
      </c>
      <c r="H4" s="53"/>
      <c r="I4" s="54"/>
      <c r="J4" s="41"/>
      <c r="K4" s="6"/>
    </row>
    <row r="5">
      <c r="A5" s="28"/>
      <c r="B5" s="44"/>
      <c r="C5" s="55" t="s">
        <v>26</v>
      </c>
      <c r="D5" s="57" t="s">
        <v>27</v>
      </c>
      <c r="E5" s="58"/>
      <c r="F5" s="60" t="s">
        <v>28</v>
      </c>
      <c r="G5" s="57" t="s">
        <v>29</v>
      </c>
      <c r="H5" s="62"/>
      <c r="I5" s="54"/>
      <c r="J5" s="41"/>
      <c r="K5" s="6"/>
    </row>
    <row r="6">
      <c r="A6" s="28"/>
      <c r="B6" s="44"/>
      <c r="C6" s="64" t="s">
        <v>30</v>
      </c>
      <c r="D6" s="66" t="s">
        <v>7</v>
      </c>
      <c r="E6" s="67"/>
      <c r="F6" s="68" t="s">
        <v>33</v>
      </c>
      <c r="G6" s="66" t="s">
        <v>9</v>
      </c>
      <c r="H6" s="69"/>
      <c r="I6" s="54"/>
      <c r="J6" s="41"/>
      <c r="K6" s="6"/>
    </row>
    <row r="7">
      <c r="A7" s="70"/>
      <c r="B7" s="71"/>
      <c r="C7" s="72"/>
      <c r="D7" s="73"/>
      <c r="E7" s="73"/>
      <c r="F7" s="73"/>
      <c r="G7" s="73"/>
      <c r="H7" s="73"/>
      <c r="I7" s="74"/>
      <c r="J7" s="76"/>
      <c r="K7" s="6"/>
    </row>
    <row r="8">
      <c r="A8" s="77"/>
      <c r="B8" s="79" t="s">
        <v>37</v>
      </c>
      <c r="C8" s="79" t="s">
        <v>38</v>
      </c>
      <c r="D8" s="79" t="s">
        <v>39</v>
      </c>
      <c r="E8" s="79" t="s">
        <v>40</v>
      </c>
      <c r="F8" s="79" t="s">
        <v>41</v>
      </c>
      <c r="G8" s="79" t="s">
        <v>42</v>
      </c>
      <c r="H8" s="79" t="s">
        <v>43</v>
      </c>
      <c r="I8" s="81" t="s">
        <v>44</v>
      </c>
      <c r="J8" s="83" t="s">
        <v>45</v>
      </c>
      <c r="K8" s="84"/>
    </row>
    <row r="9" ht="48.75" customHeight="1">
      <c r="A9" s="85" t="s">
        <v>46</v>
      </c>
      <c r="B9" s="86"/>
      <c r="C9" s="87"/>
      <c r="D9" s="88" t="s">
        <v>50</v>
      </c>
      <c r="E9" s="88" t="s">
        <v>50</v>
      </c>
      <c r="F9" s="89" t="s">
        <v>51</v>
      </c>
      <c r="G9" s="89" t="s">
        <v>51</v>
      </c>
      <c r="H9" s="87"/>
      <c r="I9" s="87"/>
      <c r="J9" s="90"/>
      <c r="K9" s="91">
        <f t="shared" ref="K9:K15" si="1">COUNTIF(B9:J9,"*-*")</f>
        <v>2</v>
      </c>
    </row>
    <row r="10" ht="48.75" customHeight="1">
      <c r="A10" s="85" t="s">
        <v>53</v>
      </c>
      <c r="B10" s="92"/>
      <c r="C10" s="93"/>
      <c r="D10" s="94" t="s">
        <v>54</v>
      </c>
      <c r="E10" s="94" t="s">
        <v>54</v>
      </c>
      <c r="F10" s="94" t="s">
        <v>55</v>
      </c>
      <c r="G10" s="94" t="s">
        <v>56</v>
      </c>
      <c r="H10" s="93"/>
      <c r="I10" s="93"/>
      <c r="J10" s="96"/>
      <c r="K10" s="91">
        <f t="shared" si="1"/>
        <v>4</v>
      </c>
    </row>
    <row r="11" ht="48.75" customHeight="1">
      <c r="A11" s="85" t="s">
        <v>58</v>
      </c>
      <c r="B11" s="92"/>
      <c r="C11" s="93"/>
      <c r="D11" s="94" t="s">
        <v>59</v>
      </c>
      <c r="E11" s="94" t="s">
        <v>59</v>
      </c>
      <c r="F11" s="94" t="s">
        <v>60</v>
      </c>
      <c r="G11" s="94" t="s">
        <v>60</v>
      </c>
      <c r="H11" s="93"/>
      <c r="I11" s="93"/>
      <c r="J11" s="96"/>
      <c r="K11" s="91">
        <f t="shared" si="1"/>
        <v>4</v>
      </c>
    </row>
    <row r="12" ht="48.75" customHeight="1">
      <c r="A12" s="85" t="s">
        <v>61</v>
      </c>
      <c r="B12" s="92"/>
      <c r="C12" s="93"/>
      <c r="D12" s="98" t="s">
        <v>50</v>
      </c>
      <c r="E12" s="98" t="s">
        <v>50</v>
      </c>
      <c r="F12" s="94" t="s">
        <v>55</v>
      </c>
      <c r="G12" s="94" t="s">
        <v>56</v>
      </c>
      <c r="H12" s="93"/>
      <c r="I12" s="93"/>
      <c r="J12" s="96"/>
      <c r="K12" s="91">
        <f t="shared" si="1"/>
        <v>2</v>
      </c>
    </row>
    <row r="13" ht="48.75" customHeight="1">
      <c r="A13" s="85" t="s">
        <v>65</v>
      </c>
      <c r="B13" s="92"/>
      <c r="C13" s="93"/>
      <c r="D13" s="94"/>
      <c r="E13" s="94"/>
      <c r="F13" s="94"/>
      <c r="G13" s="94"/>
      <c r="H13" s="93"/>
      <c r="I13" s="93"/>
      <c r="J13" s="96"/>
      <c r="K13" s="91">
        <f t="shared" si="1"/>
        <v>0</v>
      </c>
    </row>
    <row r="14" ht="48.75" customHeight="1">
      <c r="A14" s="85" t="s">
        <v>66</v>
      </c>
      <c r="B14" s="92"/>
      <c r="C14" s="93"/>
      <c r="D14" s="93"/>
      <c r="E14" s="93"/>
      <c r="F14" s="93"/>
      <c r="G14" s="93"/>
      <c r="H14" s="93"/>
      <c r="I14" s="93"/>
      <c r="J14" s="96"/>
      <c r="K14" s="91">
        <f t="shared" si="1"/>
        <v>0</v>
      </c>
    </row>
    <row r="15" ht="48.75" customHeight="1">
      <c r="A15" s="99" t="s">
        <v>67</v>
      </c>
      <c r="B15" s="100"/>
      <c r="C15" s="101"/>
      <c r="D15" s="101"/>
      <c r="E15" s="101"/>
      <c r="F15" s="101"/>
      <c r="G15" s="101"/>
      <c r="H15" s="101"/>
      <c r="I15" s="101"/>
      <c r="J15" s="102"/>
      <c r="K15" s="91">
        <f t="shared" si="1"/>
        <v>0</v>
      </c>
    </row>
    <row r="16">
      <c r="A16" s="103"/>
      <c r="B16" s="104"/>
      <c r="C16" s="104"/>
      <c r="D16" s="104"/>
      <c r="E16" s="104"/>
      <c r="F16" s="104"/>
      <c r="G16" s="104"/>
      <c r="H16" s="104"/>
      <c r="I16" s="104"/>
      <c r="J16" s="105"/>
      <c r="K16" s="91"/>
    </row>
    <row r="17">
      <c r="A17" s="107" t="s">
        <v>72</v>
      </c>
      <c r="B17" s="108"/>
      <c r="C17" s="108"/>
      <c r="D17" s="108"/>
      <c r="E17" s="108"/>
      <c r="F17" s="108"/>
      <c r="G17" s="108"/>
      <c r="H17" s="108"/>
      <c r="I17" s="108"/>
      <c r="J17" s="109"/>
      <c r="K17" s="91"/>
    </row>
    <row r="18" hidden="1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2"/>
    </row>
    <row r="19" hidden="1">
      <c r="A19" s="113" t="s">
        <v>78</v>
      </c>
      <c r="B19" s="114" t="s">
        <v>37</v>
      </c>
      <c r="C19" s="114" t="s">
        <v>38</v>
      </c>
      <c r="D19" s="114" t="s">
        <v>39</v>
      </c>
      <c r="E19" s="114" t="s">
        <v>40</v>
      </c>
      <c r="F19" s="114" t="s">
        <v>41</v>
      </c>
      <c r="G19" s="114" t="s">
        <v>42</v>
      </c>
      <c r="H19" s="114" t="s">
        <v>43</v>
      </c>
      <c r="I19" s="116" t="s">
        <v>44</v>
      </c>
      <c r="J19" s="117" t="s">
        <v>45</v>
      </c>
      <c r="K19" s="118"/>
    </row>
    <row r="20" ht="32.25" hidden="1" customHeight="1">
      <c r="A20" s="119" t="s">
        <v>82</v>
      </c>
      <c r="B20" s="120" t="str">
        <f>IFERROR(__xludf.DUMMYFUNCTION("TEXTJOIN("","",TRUE,ArrayFormula(IF(REGEXMATCH(Tabular!$F:$F,B$19),IF(REGEXMATCH(Tabular!$D:$D,$G$4),IF(REGEXMATCH(Tabular!$E:$E,$A20),Tabular!$A:$A&amp;char(10)&amp;Tabular!$G:$G,""""),""""),"""")))"),"#REF!")</f>
        <v>#REF!</v>
      </c>
      <c r="C20" s="120" t="str">
        <f>IFERROR(__xludf.DUMMYFUNCTION("TEXTJOIN("","",TRUE,ArrayFormula(IF(REGEXMATCH(Tabular!$F:$F,C$19),IF(REGEXMATCH(Tabular!$D:$D,$G$4),IF(REGEXMATCH(Tabular!$E:$E,$A20),Tabular!$A:$A&amp;char(10)&amp;Tabular!$G:$G,""""),""""),"""")))"),"#REF!")</f>
        <v>#REF!</v>
      </c>
      <c r="D20" s="120" t="str">
        <f>IFERROR(__xludf.DUMMYFUNCTION("TEXTJOIN("","",TRUE,ArrayFormula(IF(REGEXMATCH(Tabular!$F:$F,D$19),IF(REGEXMATCH(Tabular!$D:$D,$G$4),IF(REGEXMATCH(Tabular!$E:$E,$A20),Tabular!$A:$A&amp;char(10)&amp;Tabular!$G:$G,""""),""""),"""")))"),"#REF!")</f>
        <v>#REF!</v>
      </c>
      <c r="E20" s="120" t="str">
        <f>IFERROR(__xludf.DUMMYFUNCTION("TEXTJOIN("","",TRUE,ArrayFormula(IF(REGEXMATCH(Tabular!$F:$F,E$19),IF(REGEXMATCH(Tabular!$D:$D,$G$4),IF(REGEXMATCH(Tabular!$E:$E,$A20),Tabular!$A:$A&amp;char(10)&amp;Tabular!$G:$G,""""),""""),"""")))"),"#REF!")</f>
        <v>#REF!</v>
      </c>
      <c r="F20" s="120" t="str">
        <f>IFERROR(__xludf.DUMMYFUNCTION("TEXTJOIN("","",TRUE,ArrayFormula(IF(REGEXMATCH(Tabular!$F:$F,F$19),IF(REGEXMATCH(Tabular!$D:$D,$G$4),IF(REGEXMATCH(Tabular!$E:$E,$A20),Tabular!$A:$A&amp;char(10)&amp;Tabular!$G:$G,""""),""""),"""")))"),"#REF!")</f>
        <v>#REF!</v>
      </c>
      <c r="G20" s="120" t="str">
        <f>IFERROR(__xludf.DUMMYFUNCTION("TEXTJOIN("","",TRUE,ArrayFormula(IF(REGEXMATCH(Tabular!$F:$F,G$19),IF(REGEXMATCH(Tabular!$D:$D,$G$4),IF(REGEXMATCH(Tabular!$E:$E,$A20),Tabular!$A:$A&amp;char(10)&amp;Tabular!$G:$G,""""),""""),"""")))"),"#REF!")</f>
        <v>#REF!</v>
      </c>
      <c r="H20" s="120" t="str">
        <f>IFERROR(__xludf.DUMMYFUNCTION("TEXTJOIN("","",TRUE,ArrayFormula(IF(REGEXMATCH(Tabular!$F:$F,H$19),IF(REGEXMATCH(Tabular!$D:$D,$G$4),IF(REGEXMATCH(Tabular!$E:$E,$A20),Tabular!$A:$A&amp;char(10)&amp;Tabular!$G:$G,""""),""""),"""")))"),"#REF!")</f>
        <v>#REF!</v>
      </c>
      <c r="I20" s="120" t="str">
        <f>IFERROR(__xludf.DUMMYFUNCTION("TEXTJOIN("","",TRUE,ArrayFormula(IF(REGEXMATCH(Tabular!$F:$F,I$19),IF(REGEXMATCH(Tabular!$D:$D,$G$4),IF(REGEXMATCH(Tabular!$E:$E,$A20),Tabular!$A:$A&amp;char(10)&amp;Tabular!$G:$G,""""),""""),"""")))"),"#REF!")</f>
        <v>#REF!</v>
      </c>
      <c r="J20" s="120" t="str">
        <f>IFERROR(__xludf.DUMMYFUNCTION("TEXTJOIN("","",TRUE,ArrayFormula(IF(REGEXMATCH(Tabular!$F:$F,J$19),IF(REGEXMATCH(Tabular!$D:$D,$G$4),IF(REGEXMATCH(Tabular!$E:$E,$A20),Tabular!$A:$A&amp;char(10)&amp;Tabular!$G:$G,""""),""""),"""")))"),"#REF!")</f>
        <v>#REF!</v>
      </c>
      <c r="K20" s="124"/>
    </row>
    <row r="21" ht="32.25" hidden="1" customHeight="1">
      <c r="A21" s="119" t="s">
        <v>94</v>
      </c>
      <c r="B21" s="120" t="str">
        <f>IFERROR(__xludf.DUMMYFUNCTION("TEXTJOIN("","",TRUE,ArrayFormula(IF(REGEXMATCH(Tabular!$F:$F,B$19),IF(REGEXMATCH(Tabular!$D:$D,$G$4),IF(REGEXMATCH(Tabular!$E:$E,$A21),Tabular!$A:$A&amp;char(10)&amp;Tabular!$G:$G,""""),""""),"""")))"),"#REF!")</f>
        <v>#REF!</v>
      </c>
      <c r="C21" s="120" t="str">
        <f>IFERROR(__xludf.DUMMYFUNCTION("TEXTJOIN("","",TRUE,ArrayFormula(IF(REGEXMATCH(Tabular!$F:$F,C$19),IF(REGEXMATCH(Tabular!$D:$D,$G$4),IF(REGEXMATCH(Tabular!$E:$E,$A21),Tabular!$A:$A&amp;char(10)&amp;Tabular!$G:$G,""""),""""),"""")))"),"#REF!")</f>
        <v>#REF!</v>
      </c>
      <c r="D21" s="120" t="str">
        <f>IFERROR(__xludf.DUMMYFUNCTION("TEXTJOIN("","",TRUE,ArrayFormula(IF(REGEXMATCH(Tabular!$F:$F,D$19),IF(REGEXMATCH(Tabular!$D:$D,$G$4),IF(REGEXMATCH(Tabular!$E:$E,$A21),Tabular!$A:$A&amp;char(10)&amp;Tabular!$G:$G,""""),""""),"""")))"),"#REF!")</f>
        <v>#REF!</v>
      </c>
      <c r="E21" s="120" t="str">
        <f>IFERROR(__xludf.DUMMYFUNCTION("TEXTJOIN("","",TRUE,ArrayFormula(IF(REGEXMATCH(Tabular!$F:$F,E$19),IF(REGEXMATCH(Tabular!$D:$D,$G$4),IF(REGEXMATCH(Tabular!$E:$E,$A21),Tabular!$A:$A&amp;char(10)&amp;Tabular!$G:$G,""""),""""),"""")))"),"#REF!")</f>
        <v>#REF!</v>
      </c>
      <c r="F21" s="120" t="str">
        <f>IFERROR(__xludf.DUMMYFUNCTION("TEXTJOIN("","",TRUE,ArrayFormula(IF(REGEXMATCH(Tabular!$F:$F,F$19),IF(REGEXMATCH(Tabular!$D:$D,$G$4),IF(REGEXMATCH(Tabular!$E:$E,$A21),Tabular!$A:$A&amp;char(10)&amp;Tabular!$G:$G,""""),""""),"""")))"),"#REF!")</f>
        <v>#REF!</v>
      </c>
      <c r="G21" s="120" t="str">
        <f>IFERROR(__xludf.DUMMYFUNCTION("TEXTJOIN("","",TRUE,ArrayFormula(IF(REGEXMATCH(Tabular!$F:$F,G$19),IF(REGEXMATCH(Tabular!$D:$D,$G$4),IF(REGEXMATCH(Tabular!$E:$E,$A21),Tabular!$A:$A&amp;char(10)&amp;Tabular!$G:$G,""""),""""),"""")))"),"#REF!")</f>
        <v>#REF!</v>
      </c>
      <c r="H21" s="120" t="str">
        <f>IFERROR(__xludf.DUMMYFUNCTION("TEXTJOIN("","",TRUE,ArrayFormula(IF(REGEXMATCH(Tabular!$F:$F,H$19),IF(REGEXMATCH(Tabular!$D:$D,$G$4),IF(REGEXMATCH(Tabular!$E:$E,$A21),Tabular!$A:$A&amp;char(10)&amp;Tabular!$G:$G,""""),""""),"""")))"),"#REF!")</f>
        <v>#REF!</v>
      </c>
      <c r="I21" s="120" t="str">
        <f>IFERROR(__xludf.DUMMYFUNCTION("TEXTJOIN("","",TRUE,ArrayFormula(IF(REGEXMATCH(Tabular!$F:$F,I$19),IF(REGEXMATCH(Tabular!$D:$D,$G$4),IF(REGEXMATCH(Tabular!$E:$E,$A21),Tabular!$A:$A&amp;char(10)&amp;Tabular!$G:$G,""""),""""),"""")))"),"#REF!")</f>
        <v>#REF!</v>
      </c>
      <c r="J21" s="120" t="str">
        <f>IFERROR(__xludf.DUMMYFUNCTION("TEXTJOIN("","",TRUE,ArrayFormula(IF(REGEXMATCH(Tabular!$F:$F,J$19),IF(REGEXMATCH(Tabular!$D:$D,$G$4),IF(REGEXMATCH(Tabular!$E:$E,$A21),Tabular!$A:$A&amp;char(10)&amp;Tabular!$G:$G,""""),""""),"""")))"),"#REF!")</f>
        <v>#REF!</v>
      </c>
      <c r="K21" s="124"/>
    </row>
    <row r="22" ht="32.25" hidden="1" customHeight="1">
      <c r="A22" s="119" t="s">
        <v>99</v>
      </c>
      <c r="B22" s="120" t="str">
        <f>IFERROR(__xludf.DUMMYFUNCTION("TEXTJOIN("","",TRUE,ArrayFormula(IF(REGEXMATCH(Tabular!$F:$F,B$19),IF(REGEXMATCH(Tabular!$D:$D,$G$4),IF(REGEXMATCH(Tabular!$E:$E,$A22),Tabular!$A:$A&amp;char(10)&amp;Tabular!$G:$G,""""),""""),"""")))"),"#REF!")</f>
        <v>#REF!</v>
      </c>
      <c r="C22" s="120" t="str">
        <f>IFERROR(__xludf.DUMMYFUNCTION("TEXTJOIN("","",TRUE,ArrayFormula(IF(REGEXMATCH(Tabular!$F:$F,C$19),IF(REGEXMATCH(Tabular!$D:$D,$G$4),IF(REGEXMATCH(Tabular!$E:$E,$A22),Tabular!$A:$A&amp;char(10)&amp;Tabular!$G:$G,""""),""""),"""")))"),"#REF!")</f>
        <v>#REF!</v>
      </c>
      <c r="D22" s="120" t="str">
        <f>IFERROR(__xludf.DUMMYFUNCTION("TEXTJOIN("","",TRUE,ArrayFormula(IF(REGEXMATCH(Tabular!$F:$F,D$19),IF(REGEXMATCH(Tabular!$D:$D,$G$4),IF(REGEXMATCH(Tabular!$E:$E,$A22),Tabular!$A:$A&amp;char(10)&amp;Tabular!$G:$G,""""),""""),"""")))"),"#REF!")</f>
        <v>#REF!</v>
      </c>
      <c r="E22" s="120" t="str">
        <f>IFERROR(__xludf.DUMMYFUNCTION("TEXTJOIN("","",TRUE,ArrayFormula(IF(REGEXMATCH(Tabular!$F:$F,E$19),IF(REGEXMATCH(Tabular!$D:$D,$G$4),IF(REGEXMATCH(Tabular!$E:$E,$A22),Tabular!$A:$A&amp;char(10)&amp;Tabular!$G:$G,""""),""""),"""")))"),"#REF!")</f>
        <v>#REF!</v>
      </c>
      <c r="F22" s="120" t="str">
        <f>IFERROR(__xludf.DUMMYFUNCTION("TEXTJOIN("","",TRUE,ArrayFormula(IF(REGEXMATCH(Tabular!$F:$F,F$19),IF(REGEXMATCH(Tabular!$D:$D,$G$4),IF(REGEXMATCH(Tabular!$E:$E,$A22),Tabular!$A:$A&amp;char(10)&amp;Tabular!$G:$G,""""),""""),"""")))"),"#REF!")</f>
        <v>#REF!</v>
      </c>
      <c r="G22" s="120" t="str">
        <f>IFERROR(__xludf.DUMMYFUNCTION("TEXTJOIN("","",TRUE,ArrayFormula(IF(REGEXMATCH(Tabular!$F:$F,G$19),IF(REGEXMATCH(Tabular!$D:$D,$G$4),IF(REGEXMATCH(Tabular!$E:$E,$A22),Tabular!$A:$A&amp;char(10)&amp;Tabular!$G:$G,""""),""""),"""")))"),"#REF!")</f>
        <v>#REF!</v>
      </c>
      <c r="H22" s="120" t="str">
        <f>IFERROR(__xludf.DUMMYFUNCTION("TEXTJOIN("","",TRUE,ArrayFormula(IF(REGEXMATCH(Tabular!$F:$F,H$19),IF(REGEXMATCH(Tabular!$D:$D,$G$4),IF(REGEXMATCH(Tabular!$E:$E,$A22),Tabular!$A:$A&amp;char(10)&amp;Tabular!$G:$G,""""),""""),"""")))"),"#REF!")</f>
        <v>#REF!</v>
      </c>
      <c r="I22" s="120" t="str">
        <f>IFERROR(__xludf.DUMMYFUNCTION("TEXTJOIN("","",TRUE,ArrayFormula(IF(REGEXMATCH(Tabular!$F:$F,I$19),IF(REGEXMATCH(Tabular!$D:$D,$G$4),IF(REGEXMATCH(Tabular!$E:$E,$A22),Tabular!$A:$A&amp;char(10)&amp;Tabular!$G:$G,""""),""""),"""")))"),"#REF!")</f>
        <v>#REF!</v>
      </c>
      <c r="J22" s="120" t="str">
        <f>IFERROR(__xludf.DUMMYFUNCTION("TEXTJOIN("","",TRUE,ArrayFormula(IF(REGEXMATCH(Tabular!$F:$F,J$19),IF(REGEXMATCH(Tabular!$D:$D,$G$4),IF(REGEXMATCH(Tabular!$E:$E,$A22),Tabular!$A:$A&amp;char(10)&amp;Tabular!$G:$G,""""),""""),"""")))"),"#REF!")</f>
        <v>#REF!</v>
      </c>
      <c r="K22" s="124"/>
    </row>
    <row r="23" ht="32.25" hidden="1" customHeight="1">
      <c r="A23" s="119" t="s">
        <v>108</v>
      </c>
      <c r="B23" s="120" t="str">
        <f>IFERROR(__xludf.DUMMYFUNCTION("TEXTJOIN("","",TRUE,ArrayFormula(IF(REGEXMATCH(Tabular!$F:$F,B$19),IF(REGEXMATCH(Tabular!$D:$D,$G$4),IF(REGEXMATCH(Tabular!$E:$E,$A23),Tabular!$A:$A&amp;char(10)&amp;Tabular!$G:$G,""""),""""),"""")))"),"#REF!")</f>
        <v>#REF!</v>
      </c>
      <c r="C23" s="120" t="str">
        <f>IFERROR(__xludf.DUMMYFUNCTION("TEXTJOIN("","",TRUE,ArrayFormula(IF(REGEXMATCH(Tabular!$F:$F,C$19),IF(REGEXMATCH(Tabular!$D:$D,$G$4),IF(REGEXMATCH(Tabular!$E:$E,$A23),Tabular!$A:$A&amp;char(10)&amp;Tabular!$G:$G,""""),""""),"""")))"),"#REF!")</f>
        <v>#REF!</v>
      </c>
      <c r="D23" s="120" t="str">
        <f>IFERROR(__xludf.DUMMYFUNCTION("TEXTJOIN("","",TRUE,ArrayFormula(IF(REGEXMATCH(Tabular!$F:$F,D$19),IF(REGEXMATCH(Tabular!$D:$D,$G$4),IF(REGEXMATCH(Tabular!$E:$E,$A23),Tabular!$A:$A&amp;char(10)&amp;Tabular!$G:$G,""""),""""),"""")))"),"#REF!")</f>
        <v>#REF!</v>
      </c>
      <c r="E23" s="120" t="str">
        <f>IFERROR(__xludf.DUMMYFUNCTION("TEXTJOIN("","",TRUE,ArrayFormula(IF(REGEXMATCH(Tabular!$F:$F,E$19),IF(REGEXMATCH(Tabular!$D:$D,$G$4),IF(REGEXMATCH(Tabular!$E:$E,$A23),Tabular!$A:$A&amp;char(10)&amp;Tabular!$G:$G,""""),""""),"""")))"),"#REF!")</f>
        <v>#REF!</v>
      </c>
      <c r="F23" s="120" t="str">
        <f>IFERROR(__xludf.DUMMYFUNCTION("TEXTJOIN("","",TRUE,ArrayFormula(IF(REGEXMATCH(Tabular!$F:$F,F$19),IF(REGEXMATCH(Tabular!$D:$D,$G$4),IF(REGEXMATCH(Tabular!$E:$E,$A23),Tabular!$A:$A&amp;char(10)&amp;Tabular!$G:$G,""""),""""),"""")))"),"#REF!")</f>
        <v>#REF!</v>
      </c>
      <c r="G23" s="120" t="str">
        <f>IFERROR(__xludf.DUMMYFUNCTION("TEXTJOIN("","",TRUE,ArrayFormula(IF(REGEXMATCH(Tabular!$F:$F,G$19),IF(REGEXMATCH(Tabular!$D:$D,$G$4),IF(REGEXMATCH(Tabular!$E:$E,$A23),Tabular!$A:$A&amp;char(10)&amp;Tabular!$G:$G,""""),""""),"""")))"),"#REF!")</f>
        <v>#REF!</v>
      </c>
      <c r="H23" s="120" t="str">
        <f>IFERROR(__xludf.DUMMYFUNCTION("TEXTJOIN("","",TRUE,ArrayFormula(IF(REGEXMATCH(Tabular!$F:$F,H$19),IF(REGEXMATCH(Tabular!$D:$D,$G$4),IF(REGEXMATCH(Tabular!$E:$E,$A23),Tabular!$A:$A&amp;char(10)&amp;Tabular!$G:$G,""""),""""),"""")))"),"#REF!")</f>
        <v>#REF!</v>
      </c>
      <c r="I23" s="120" t="str">
        <f>IFERROR(__xludf.DUMMYFUNCTION("TEXTJOIN("","",TRUE,ArrayFormula(IF(REGEXMATCH(Tabular!$F:$F,I$19),IF(REGEXMATCH(Tabular!$D:$D,$G$4),IF(REGEXMATCH(Tabular!$E:$E,$A23),Tabular!$A:$A&amp;char(10)&amp;Tabular!$G:$G,""""),""""),"""")))"),"#REF!")</f>
        <v>#REF!</v>
      </c>
      <c r="J23" s="120" t="str">
        <f>IFERROR(__xludf.DUMMYFUNCTION("TEXTJOIN("","",TRUE,ArrayFormula(IF(REGEXMATCH(Tabular!$F:$F,J$19),IF(REGEXMATCH(Tabular!$D:$D,$G$4),IF(REGEXMATCH(Tabular!$E:$E,$A23),Tabular!$A:$A&amp;char(10)&amp;Tabular!$G:$G,""""),""""),"""")))"),"#REF!")</f>
        <v>#REF!</v>
      </c>
      <c r="K23" s="124"/>
    </row>
    <row r="24" ht="32.25" hidden="1" customHeight="1">
      <c r="A24" s="119" t="s">
        <v>114</v>
      </c>
      <c r="B24" s="120" t="str">
        <f>IFERROR(__xludf.DUMMYFUNCTION("TEXTJOIN("","",TRUE,ArrayFormula(IF(REGEXMATCH(Tabular!$F:$F,B$19),IF(REGEXMATCH(Tabular!$D:$D,$G$4),IF(REGEXMATCH(Tabular!$E:$E,$A24),Tabular!$A:$A&amp;char(10)&amp;Tabular!$G:$G,""""),""""),"""")))"),"#REF!")</f>
        <v>#REF!</v>
      </c>
      <c r="C24" s="120" t="str">
        <f>IFERROR(__xludf.DUMMYFUNCTION("TEXTJOIN("","",TRUE,ArrayFormula(IF(REGEXMATCH(Tabular!$F:$F,C$19),IF(REGEXMATCH(Tabular!$D:$D,$G$4),IF(REGEXMATCH(Tabular!$E:$E,$A24),Tabular!$A:$A&amp;char(10)&amp;Tabular!$G:$G,""""),""""),"""")))"),"#REF!")</f>
        <v>#REF!</v>
      </c>
      <c r="D24" s="120" t="str">
        <f>IFERROR(__xludf.DUMMYFUNCTION("TEXTJOIN("","",TRUE,ArrayFormula(IF(REGEXMATCH(Tabular!$F:$F,D$19),IF(REGEXMATCH(Tabular!$D:$D,$G$4),IF(REGEXMATCH(Tabular!$E:$E,$A24),Tabular!$A:$A&amp;char(10)&amp;Tabular!$G:$G,""""),""""),"""")))"),"#REF!")</f>
        <v>#REF!</v>
      </c>
      <c r="E24" s="120" t="str">
        <f>IFERROR(__xludf.DUMMYFUNCTION("TEXTJOIN("","",TRUE,ArrayFormula(IF(REGEXMATCH(Tabular!$F:$F,E$19),IF(REGEXMATCH(Tabular!$D:$D,$G$4),IF(REGEXMATCH(Tabular!$E:$E,$A24),Tabular!$A:$A&amp;char(10)&amp;Tabular!$G:$G,""""),""""),"""")))"),"#REF!")</f>
        <v>#REF!</v>
      </c>
      <c r="F24" s="120" t="str">
        <f>IFERROR(__xludf.DUMMYFUNCTION("TEXTJOIN("","",TRUE,ArrayFormula(IF(REGEXMATCH(Tabular!$F:$F,F$19),IF(REGEXMATCH(Tabular!$D:$D,$G$4),IF(REGEXMATCH(Tabular!$E:$E,$A24),Tabular!$A:$A&amp;char(10)&amp;Tabular!$G:$G,""""),""""),"""")))"),"#REF!")</f>
        <v>#REF!</v>
      </c>
      <c r="G24" s="120" t="str">
        <f>IFERROR(__xludf.DUMMYFUNCTION("TEXTJOIN("","",TRUE,ArrayFormula(IF(REGEXMATCH(Tabular!$F:$F,G$19),IF(REGEXMATCH(Tabular!$D:$D,$G$4),IF(REGEXMATCH(Tabular!$E:$E,$A24),Tabular!$A:$A&amp;char(10)&amp;Tabular!$G:$G,""""),""""),"""")))"),"#REF!")</f>
        <v>#REF!</v>
      </c>
      <c r="H24" s="120" t="str">
        <f>IFERROR(__xludf.DUMMYFUNCTION("TEXTJOIN("","",TRUE,ArrayFormula(IF(REGEXMATCH(Tabular!$F:$F,H$19),IF(REGEXMATCH(Tabular!$D:$D,$G$4),IF(REGEXMATCH(Tabular!$E:$E,$A24),Tabular!$A:$A&amp;char(10)&amp;Tabular!$G:$G,""""),""""),"""")))"),"#REF!")</f>
        <v>#REF!</v>
      </c>
      <c r="I24" s="120" t="str">
        <f>IFERROR(__xludf.DUMMYFUNCTION("TEXTJOIN("","",TRUE,ArrayFormula(IF(REGEXMATCH(Tabular!$F:$F,I$19),IF(REGEXMATCH(Tabular!$D:$D,$G$4),IF(REGEXMATCH(Tabular!$E:$E,$A24),Tabular!$A:$A&amp;char(10)&amp;Tabular!$G:$G,""""),""""),"""")))"),"#REF!")</f>
        <v>#REF!</v>
      </c>
      <c r="J24" s="120" t="str">
        <f>IFERROR(__xludf.DUMMYFUNCTION("TEXTJOIN("","",TRUE,ArrayFormula(IF(REGEXMATCH(Tabular!$F:$F,J$19),IF(REGEXMATCH(Tabular!$D:$D,$G$4),IF(REGEXMATCH(Tabular!$E:$E,$A24),Tabular!$A:$A&amp;char(10)&amp;Tabular!$G:$G,""""),""""),"""")))"),"#REF!")</f>
        <v>#REF!</v>
      </c>
      <c r="K24" s="124"/>
    </row>
    <row r="25" ht="32.25" hidden="1" customHeight="1">
      <c r="A25" s="119" t="s">
        <v>124</v>
      </c>
      <c r="B25" s="120" t="str">
        <f>IFERROR(__xludf.DUMMYFUNCTION("TEXTJOIN("","",TRUE,ArrayFormula(IF(REGEXMATCH(Tabular!$F:$F,B$19),IF(REGEXMATCH(Tabular!$D:$D,$G$4),IF(REGEXMATCH(Tabular!$E:$E,$A25),Tabular!$A:$A&amp;char(10)&amp;Tabular!$G:$G,""""),""""),"""")))"),"#REF!")</f>
        <v>#REF!</v>
      </c>
      <c r="C25" s="120" t="str">
        <f>IFERROR(__xludf.DUMMYFUNCTION("TEXTJOIN("","",TRUE,ArrayFormula(IF(REGEXMATCH(Tabular!$F:$F,C$19),IF(REGEXMATCH(Tabular!$D:$D,$G$4),IF(REGEXMATCH(Tabular!$E:$E,$A25),Tabular!$A:$A&amp;char(10)&amp;Tabular!$G:$G,""""),""""),"""")))"),"#REF!")</f>
        <v>#REF!</v>
      </c>
      <c r="D25" s="120" t="str">
        <f>IFERROR(__xludf.DUMMYFUNCTION("TEXTJOIN("","",TRUE,ArrayFormula(IF(REGEXMATCH(Tabular!$F:$F,D$19),IF(REGEXMATCH(Tabular!$D:$D,$G$4),IF(REGEXMATCH(Tabular!$E:$E,$A25),Tabular!$A:$A&amp;char(10)&amp;Tabular!$G:$G,""""),""""),"""")))"),"#REF!")</f>
        <v>#REF!</v>
      </c>
      <c r="E25" s="120" t="str">
        <f>IFERROR(__xludf.DUMMYFUNCTION("TEXTJOIN("","",TRUE,ArrayFormula(IF(REGEXMATCH(Tabular!$F:$F,E$19),IF(REGEXMATCH(Tabular!$D:$D,$G$4),IF(REGEXMATCH(Tabular!$E:$E,$A25),Tabular!$A:$A&amp;char(10)&amp;Tabular!$G:$G,""""),""""),"""")))"),"#REF!")</f>
        <v>#REF!</v>
      </c>
      <c r="F25" s="120" t="str">
        <f>IFERROR(__xludf.DUMMYFUNCTION("TEXTJOIN("","",TRUE,ArrayFormula(IF(REGEXMATCH(Tabular!$F:$F,F$19),IF(REGEXMATCH(Tabular!$D:$D,$G$4),IF(REGEXMATCH(Tabular!$E:$E,$A25),Tabular!$A:$A&amp;char(10)&amp;Tabular!$G:$G,""""),""""),"""")))"),"#REF!")</f>
        <v>#REF!</v>
      </c>
      <c r="G25" s="120" t="str">
        <f>IFERROR(__xludf.DUMMYFUNCTION("TEXTJOIN("","",TRUE,ArrayFormula(IF(REGEXMATCH(Tabular!$F:$F,G$19),IF(REGEXMATCH(Tabular!$D:$D,$G$4),IF(REGEXMATCH(Tabular!$E:$E,$A25),Tabular!$A:$A&amp;char(10)&amp;Tabular!$G:$G,""""),""""),"""")))"),"#REF!")</f>
        <v>#REF!</v>
      </c>
      <c r="H25" s="120" t="str">
        <f>IFERROR(__xludf.DUMMYFUNCTION("TEXTJOIN("","",TRUE,ArrayFormula(IF(REGEXMATCH(Tabular!$F:$F,H$19),IF(REGEXMATCH(Tabular!$D:$D,$G$4),IF(REGEXMATCH(Tabular!$E:$E,$A25),Tabular!$A:$A&amp;char(10)&amp;Tabular!$G:$G,""""),""""),"""")))"),"#REF!")</f>
        <v>#REF!</v>
      </c>
      <c r="I25" s="120" t="str">
        <f>IFERROR(__xludf.DUMMYFUNCTION("TEXTJOIN("","",TRUE,ArrayFormula(IF(REGEXMATCH(Tabular!$F:$F,I$19),IF(REGEXMATCH(Tabular!$D:$D,$G$4),IF(REGEXMATCH(Tabular!$E:$E,$A25),Tabular!$A:$A&amp;char(10)&amp;Tabular!$G:$G,""""),""""),"""")))"),"#REF!")</f>
        <v>#REF!</v>
      </c>
      <c r="J25" s="120" t="str">
        <f>IFERROR(__xludf.DUMMYFUNCTION("TEXTJOIN("","",TRUE,ArrayFormula(IF(REGEXMATCH(Tabular!$F:$F,J$19),IF(REGEXMATCH(Tabular!$D:$D,$G$4),IF(REGEXMATCH(Tabular!$E:$E,$A25),Tabular!$A:$A&amp;char(10)&amp;Tabular!$G:$G,""""),""""),"""")))"),"#REF!")</f>
        <v>#REF!</v>
      </c>
      <c r="K25" s="124"/>
    </row>
    <row r="26" ht="32.25" hidden="1" customHeight="1">
      <c r="A26" s="119" t="s">
        <v>133</v>
      </c>
      <c r="B26" s="120" t="str">
        <f>IFERROR(__xludf.DUMMYFUNCTION("TEXTJOIN("","",TRUE,ArrayFormula(IF(REGEXMATCH(Tabular!$F:$F,B$19),IF(REGEXMATCH(Tabular!$D:$D,$G$4),IF(REGEXMATCH(Tabular!$E:$E,$A26),Tabular!$A:$A&amp;char(10)&amp;Tabular!$G:$G,""""),""""),"""")))"),"#REF!")</f>
        <v>#REF!</v>
      </c>
      <c r="C26" s="120" t="str">
        <f>IFERROR(__xludf.DUMMYFUNCTION("TEXTJOIN("","",TRUE,ArrayFormula(IF(REGEXMATCH(Tabular!$F:$F,C$19),IF(REGEXMATCH(Tabular!$D:$D,$G$4),IF(REGEXMATCH(Tabular!$E:$E,$A26),Tabular!$A:$A&amp;char(10)&amp;Tabular!$G:$G,""""),""""),"""")))"),"#REF!")</f>
        <v>#REF!</v>
      </c>
      <c r="D26" s="120" t="str">
        <f>IFERROR(__xludf.DUMMYFUNCTION("TEXTJOIN("","",TRUE,ArrayFormula(IF(REGEXMATCH(Tabular!$F:$F,D$19),IF(REGEXMATCH(Tabular!$D:$D,$G$4),IF(REGEXMATCH(Tabular!$E:$E,$A26),Tabular!$A:$A&amp;char(10)&amp;Tabular!$G:$G,""""),""""),"""")))"),"#REF!")</f>
        <v>#REF!</v>
      </c>
      <c r="E26" s="120" t="str">
        <f>IFERROR(__xludf.DUMMYFUNCTION("TEXTJOIN("","",TRUE,ArrayFormula(IF(REGEXMATCH(Tabular!$F:$F,E$19),IF(REGEXMATCH(Tabular!$D:$D,$G$4),IF(REGEXMATCH(Tabular!$E:$E,$A26),Tabular!$A:$A&amp;char(10)&amp;Tabular!$G:$G,""""),""""),"""")))"),"#REF!")</f>
        <v>#REF!</v>
      </c>
      <c r="F26" s="120" t="str">
        <f>IFERROR(__xludf.DUMMYFUNCTION("TEXTJOIN("","",TRUE,ArrayFormula(IF(REGEXMATCH(Tabular!$F:$F,F$19),IF(REGEXMATCH(Tabular!$D:$D,$G$4),IF(REGEXMATCH(Tabular!$E:$E,$A26),Tabular!$A:$A&amp;char(10)&amp;Tabular!$G:$G,""""),""""),"""")))"),"#REF!")</f>
        <v>#REF!</v>
      </c>
      <c r="G26" s="120" t="str">
        <f>IFERROR(__xludf.DUMMYFUNCTION("TEXTJOIN("","",TRUE,ArrayFormula(IF(REGEXMATCH(Tabular!$F:$F,G$19),IF(REGEXMATCH(Tabular!$D:$D,$G$4),IF(REGEXMATCH(Tabular!$E:$E,$A26),Tabular!$A:$A&amp;char(10)&amp;Tabular!$G:$G,""""),""""),"""")))"),"#REF!")</f>
        <v>#REF!</v>
      </c>
      <c r="H26" s="120" t="str">
        <f>IFERROR(__xludf.DUMMYFUNCTION("TEXTJOIN("","",TRUE,ArrayFormula(IF(REGEXMATCH(Tabular!$F:$F,H$19),IF(REGEXMATCH(Tabular!$D:$D,$G$4),IF(REGEXMATCH(Tabular!$E:$E,$A26),Tabular!$A:$A&amp;char(10)&amp;Tabular!$G:$G,""""),""""),"""")))"),"#REF!")</f>
        <v>#REF!</v>
      </c>
      <c r="I26" s="120" t="str">
        <f>IFERROR(__xludf.DUMMYFUNCTION("TEXTJOIN("","",TRUE,ArrayFormula(IF(REGEXMATCH(Tabular!$F:$F,I$19),IF(REGEXMATCH(Tabular!$D:$D,$G$4),IF(REGEXMATCH(Tabular!$E:$E,$A26),Tabular!$A:$A&amp;char(10)&amp;Tabular!$G:$G,""""),""""),"""")))"),"#REF!")</f>
        <v>#REF!</v>
      </c>
      <c r="J26" s="120" t="str">
        <f>IFERROR(__xludf.DUMMYFUNCTION("TEXTJOIN("","",TRUE,ArrayFormula(IF(REGEXMATCH(Tabular!$F:$F,J$19),IF(REGEXMATCH(Tabular!$D:$D,$G$4),IF(REGEXMATCH(Tabular!$E:$E,$A26),Tabular!$A:$A&amp;char(10)&amp;Tabular!$G:$G,""""),""""),"""")))"),"#REF!")</f>
        <v>#REF!</v>
      </c>
      <c r="K26" s="124"/>
    </row>
    <row r="27" hidden="1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91"/>
    </row>
    <row r="28" hidden="1">
      <c r="A28" s="154" t="s">
        <v>140</v>
      </c>
      <c r="B28" s="155" t="s">
        <v>37</v>
      </c>
      <c r="C28" s="155" t="s">
        <v>38</v>
      </c>
      <c r="D28" s="155" t="s">
        <v>39</v>
      </c>
      <c r="E28" s="155" t="s">
        <v>40</v>
      </c>
      <c r="F28" s="155" t="s">
        <v>41</v>
      </c>
      <c r="G28" s="155" t="s">
        <v>42</v>
      </c>
      <c r="H28" s="155" t="s">
        <v>43</v>
      </c>
      <c r="I28" s="156" t="s">
        <v>44</v>
      </c>
      <c r="J28" s="157" t="s">
        <v>45</v>
      </c>
      <c r="K28" s="158"/>
    </row>
    <row r="29" ht="45.75" hidden="1" customHeight="1">
      <c r="A29" s="159" t="s">
        <v>82</v>
      </c>
      <c r="B29" s="164" t="str">
        <f>IFERROR(__xludf.DUMMYFUNCTION("TEXTJOIN("","",TRUE,ArrayFormula(IF(REGEXMATCH(Tabular!$J:$J,B$28),IF(REGEXMATCH(Tabular!$H:$H,$G$4),IF(REGEXMATCH(Tabular!$I:$I,$A29),Tabular!$A:$A&amp;"" (LAB)""&amp;char(10)&amp;Tabular!$H:$H&amp;char(10)&amp;Tabular!$K:$K,""""),""""),"""")))"),"#REF!")</f>
        <v>#REF!</v>
      </c>
      <c r="C29" s="164" t="str">
        <f t="array" ref="C29:C35">B29:B35</f>
        <v>#REF!</v>
      </c>
      <c r="D29" s="164" t="str">
        <f>IFERROR(__xludf.DUMMYFUNCTION("TEXTJOIN("","",TRUE,ArrayFormula(IF(REGEXMATCH(Tabular!$J:$J,D$28),IF(REGEXMATCH(Tabular!$H:$H,$G$4),IF(REGEXMATCH(Tabular!$I:$I,$A29),Tabular!$A:$A&amp;"" (LAB)""&amp;char(10)&amp;Tabular!$H:$H&amp;char(10)&amp;Tabular!$K:$K,""""),""""),"""")))"),"#REF!")</f>
        <v>#REF!</v>
      </c>
      <c r="E29" s="164" t="str">
        <f t="array" ref="E29:E35">D29:D35</f>
        <v>#REF!</v>
      </c>
      <c r="F29" s="164" t="str">
        <f>IFERROR(__xludf.DUMMYFUNCTION("TEXTJOIN("","",TRUE,ArrayFormula(IF(REGEXMATCH(Tabular!$J:$J,F$28),IF(REGEXMATCH(Tabular!$H:$H,$G$4),IF(REGEXMATCH(Tabular!$I:$I,$A29),Tabular!$A:$A&amp;"" (LAB)""&amp;char(10)&amp;Tabular!$H:$H&amp;char(10)&amp;Tabular!$K:$K,""""),""""),"""")))"),"#REF!")</f>
        <v>#REF!</v>
      </c>
      <c r="G29" s="164" t="str">
        <f t="array" ref="G29:G35">F29:F35</f>
        <v>#REF!</v>
      </c>
      <c r="H29" s="164" t="str">
        <f>IFERROR(__xludf.DUMMYFUNCTION("TEXTJOIN("","",TRUE,ArrayFormula(IF(REGEXMATCH(Tabular!$J:$J,H$28),IF(REGEXMATCH(Tabular!$H:$H,$G$4),IF(REGEXMATCH(Tabular!$I:$I,$A29),Tabular!$A:$A&amp;"" (LAB)""&amp;char(10)&amp;Tabular!$H:$H&amp;char(10)&amp;Tabular!$K:$K,""""),""""),"""")))"),"#REF!")</f>
        <v>#REF!</v>
      </c>
      <c r="I29" s="164" t="str">
        <f t="array" ref="I29:I35">H29:H35</f>
        <v>#REF!</v>
      </c>
      <c r="J29" s="164"/>
      <c r="K29" s="170"/>
    </row>
    <row r="30" ht="45.75" hidden="1" customHeight="1">
      <c r="A30" s="159" t="s">
        <v>94</v>
      </c>
      <c r="B30" s="164" t="str">
        <f>IFERROR(__xludf.DUMMYFUNCTION("TEXTJOIN("","",TRUE,ArrayFormula(IF(REGEXMATCH(Tabular!$J:$J,B$28),IF(REGEXMATCH(Tabular!$H:$H,$G$4),IF(REGEXMATCH(Tabular!$I:$I,$A30),Tabular!$A:$A&amp;"" (LAB)""&amp;char(10)&amp;Tabular!$H:$H&amp;char(10)&amp;Tabular!$K:$K,""""),""""),"""")))"),"#REF!")</f>
        <v>#REF!</v>
      </c>
      <c r="C30" s="164" t="e">
        <v>#REF!</v>
      </c>
      <c r="D30" s="164" t="str">
        <f>IFERROR(__xludf.DUMMYFUNCTION("TEXTJOIN("","",TRUE,ArrayFormula(IF(REGEXMATCH(Tabular!$J:$J,D$28),IF(REGEXMATCH(Tabular!$H:$H,$G$4),IF(REGEXMATCH(Tabular!$I:$I,$A30),Tabular!$A:$A&amp;"" (LAB)""&amp;char(10)&amp;Tabular!$H:$H&amp;char(10)&amp;Tabular!$K:$K,""""),""""),"""")))"),"#REF!")</f>
        <v>#REF!</v>
      </c>
      <c r="E30" s="164" t="e">
        <v>#REF!</v>
      </c>
      <c r="F30" s="164" t="str">
        <f>IFERROR(__xludf.DUMMYFUNCTION("TEXTJOIN("","",TRUE,ArrayFormula(IF(REGEXMATCH(Tabular!$J:$J,F$28),IF(REGEXMATCH(Tabular!$H:$H,$G$4),IF(REGEXMATCH(Tabular!$I:$I,$A30),Tabular!$A:$A&amp;"" (LAB)""&amp;char(10)&amp;Tabular!$H:$H&amp;char(10)&amp;Tabular!$K:$K,""""),""""),"""")))"),"#REF!")</f>
        <v>#REF!</v>
      </c>
      <c r="G30" s="164" t="e">
        <v>#REF!</v>
      </c>
      <c r="H30" s="164" t="str">
        <f>IFERROR(__xludf.DUMMYFUNCTION("TEXTJOIN("","",TRUE,ArrayFormula(IF(REGEXMATCH(Tabular!$J:$J,H$28),IF(REGEXMATCH(Tabular!$H:$H,$G$4),IF(REGEXMATCH(Tabular!$I:$I,$A30),Tabular!$A:$A&amp;"" (LAB)""&amp;char(10)&amp;Tabular!$H:$H&amp;char(10)&amp;Tabular!$K:$K,""""),""""),"""")))"),"#REF!")</f>
        <v>#REF!</v>
      </c>
      <c r="I30" s="164" t="e">
        <v>#REF!</v>
      </c>
      <c r="J30" s="164"/>
      <c r="K30" s="170"/>
    </row>
    <row r="31" ht="45.75" hidden="1" customHeight="1">
      <c r="A31" s="159" t="s">
        <v>99</v>
      </c>
      <c r="B31" s="164" t="str">
        <f>IFERROR(__xludf.DUMMYFUNCTION("TEXTJOIN("","",TRUE,ArrayFormula(IF(REGEXMATCH(Tabular!$J:$J,B$28),IF(REGEXMATCH(Tabular!$H:$H,$G$4),IF(REGEXMATCH(Tabular!$I:$I,$A31),Tabular!$A:$A&amp;"" (LAB)""&amp;char(10)&amp;Tabular!$H:$H&amp;char(10)&amp;Tabular!$K:$K,""""),""""),"""")))"),"#REF!")</f>
        <v>#REF!</v>
      </c>
      <c r="C31" s="164" t="e">
        <v>#REF!</v>
      </c>
      <c r="D31" s="164" t="str">
        <f>IFERROR(__xludf.DUMMYFUNCTION("TEXTJOIN("","",TRUE,ArrayFormula(IF(REGEXMATCH(Tabular!$J:$J,D$28),IF(REGEXMATCH(Tabular!$H:$H,$G$4),IF(REGEXMATCH(Tabular!$I:$I,$A31),Tabular!$A:$A&amp;"" (LAB)""&amp;char(10)&amp;Tabular!$H:$H&amp;char(10)&amp;Tabular!$K:$K,""""),""""),"""")))"),"#REF!")</f>
        <v>#REF!</v>
      </c>
      <c r="E31" s="164" t="e">
        <v>#REF!</v>
      </c>
      <c r="F31" s="164" t="str">
        <f>IFERROR(__xludf.DUMMYFUNCTION("TEXTJOIN("","",TRUE,ArrayFormula(IF(REGEXMATCH(Tabular!$J:$J,F$28),IF(REGEXMATCH(Tabular!$H:$H,$G$4),IF(REGEXMATCH(Tabular!$I:$I,$A31),Tabular!$A:$A&amp;"" (LAB)""&amp;char(10)&amp;Tabular!$H:$H&amp;char(10)&amp;Tabular!$K:$K,""""),""""),"""")))"),"#REF!")</f>
        <v>#REF!</v>
      </c>
      <c r="G31" s="164" t="e">
        <v>#REF!</v>
      </c>
      <c r="H31" s="164" t="str">
        <f>IFERROR(__xludf.DUMMYFUNCTION("TEXTJOIN("","",TRUE,ArrayFormula(IF(REGEXMATCH(Tabular!$J:$J,H$28),IF(REGEXMATCH(Tabular!$H:$H,$G$4),IF(REGEXMATCH(Tabular!$I:$I,$A31),Tabular!$A:$A&amp;"" (LAB)""&amp;char(10)&amp;Tabular!$H:$H&amp;char(10)&amp;Tabular!$K:$K,""""),""""),"""")))"),"#REF!")</f>
        <v>#REF!</v>
      </c>
      <c r="I31" s="164" t="e">
        <v>#REF!</v>
      </c>
      <c r="J31" s="164"/>
      <c r="K31" s="170"/>
    </row>
    <row r="32" ht="45.75" hidden="1" customHeight="1">
      <c r="A32" s="159" t="s">
        <v>108</v>
      </c>
      <c r="B32" s="164" t="str">
        <f>IFERROR(__xludf.DUMMYFUNCTION("TEXTJOIN("","",TRUE,ArrayFormula(IF(REGEXMATCH(Tabular!$J:$J,B$28),IF(REGEXMATCH(Tabular!$H:$H,$G$4),IF(REGEXMATCH(Tabular!$I:$I,$A32),Tabular!$A:$A&amp;"" (LAB)""&amp;char(10)&amp;Tabular!$H:$H&amp;char(10)&amp;Tabular!$K:$K,""""),""""),"""")))"),"#REF!")</f>
        <v>#REF!</v>
      </c>
      <c r="C32" s="164" t="e">
        <v>#REF!</v>
      </c>
      <c r="D32" s="164" t="str">
        <f>IFERROR(__xludf.DUMMYFUNCTION("TEXTJOIN("","",TRUE,ArrayFormula(IF(REGEXMATCH(Tabular!$J:$J,D$28),IF(REGEXMATCH(Tabular!$H:$H,$G$4),IF(REGEXMATCH(Tabular!$I:$I,$A32),Tabular!$A:$A&amp;"" (LAB)""&amp;char(10)&amp;Tabular!$H:$H&amp;char(10)&amp;Tabular!$K:$K,""""),""""),"""")))"),"#REF!")</f>
        <v>#REF!</v>
      </c>
      <c r="E32" s="164" t="e">
        <v>#REF!</v>
      </c>
      <c r="F32" s="164" t="str">
        <f>IFERROR(__xludf.DUMMYFUNCTION("TEXTJOIN("","",TRUE,ArrayFormula(IF(REGEXMATCH(Tabular!$J:$J,F$28),IF(REGEXMATCH(Tabular!$H:$H,$G$4),IF(REGEXMATCH(Tabular!$I:$I,$A32),Tabular!$A:$A&amp;"" (LAB)""&amp;char(10)&amp;Tabular!$H:$H&amp;char(10)&amp;Tabular!$K:$K,""""),""""),"""")))"),"#REF!")</f>
        <v>#REF!</v>
      </c>
      <c r="G32" s="164" t="e">
        <v>#REF!</v>
      </c>
      <c r="H32" s="164" t="str">
        <f>IFERROR(__xludf.DUMMYFUNCTION("TEXTJOIN("","",TRUE,ArrayFormula(IF(REGEXMATCH(Tabular!$J:$J,H$28),IF(REGEXMATCH(Tabular!$H:$H,$G$4),IF(REGEXMATCH(Tabular!$I:$I,$A32),Tabular!$A:$A&amp;"" (LAB)""&amp;char(10)&amp;Tabular!$H:$H&amp;char(10)&amp;Tabular!$K:$K,""""),""""),"""")))"),"#REF!")</f>
        <v>#REF!</v>
      </c>
      <c r="I32" s="164" t="e">
        <v>#REF!</v>
      </c>
      <c r="J32" s="164"/>
      <c r="K32" s="170"/>
    </row>
    <row r="33" ht="45.75" hidden="1" customHeight="1">
      <c r="A33" s="159" t="s">
        <v>114</v>
      </c>
      <c r="B33" s="164" t="str">
        <f>IFERROR(__xludf.DUMMYFUNCTION("TEXTJOIN("","",TRUE,ArrayFormula(IF(REGEXMATCH(Tabular!$J:$J,B$28),IF(REGEXMATCH(Tabular!$H:$H,$G$4),IF(REGEXMATCH(Tabular!$I:$I,$A33),Tabular!$A:$A&amp;"" (LAB)""&amp;char(10)&amp;Tabular!$H:$H&amp;char(10)&amp;Tabular!$K:$K,""""),""""),"""")))"),"#REF!")</f>
        <v>#REF!</v>
      </c>
      <c r="C33" s="164" t="e">
        <v>#REF!</v>
      </c>
      <c r="D33" s="164" t="str">
        <f>IFERROR(__xludf.DUMMYFUNCTION("TEXTJOIN("","",TRUE,ArrayFormula(IF(REGEXMATCH(Tabular!$J:$J,D$28),IF(REGEXMATCH(Tabular!$H:$H,$G$4),IF(REGEXMATCH(Tabular!$I:$I,$A33),Tabular!$A:$A&amp;"" (LAB)""&amp;char(10)&amp;Tabular!$H:$H&amp;char(10)&amp;Tabular!$K:$K,""""),""""),"""")))"),"#REF!")</f>
        <v>#REF!</v>
      </c>
      <c r="E33" s="164" t="e">
        <v>#REF!</v>
      </c>
      <c r="F33" s="164" t="str">
        <f>IFERROR(__xludf.DUMMYFUNCTION("TEXTJOIN("","",TRUE,ArrayFormula(IF(REGEXMATCH(Tabular!$J:$J,F$28),IF(REGEXMATCH(Tabular!$H:$H,$G$4),IF(REGEXMATCH(Tabular!$I:$I,$A33),Tabular!$A:$A&amp;"" (LAB)""&amp;char(10)&amp;Tabular!$H:$H&amp;char(10)&amp;Tabular!$K:$K,""""),""""),"""")))"),"#REF!")</f>
        <v>#REF!</v>
      </c>
      <c r="G33" s="164" t="e">
        <v>#REF!</v>
      </c>
      <c r="H33" s="164" t="str">
        <f>IFERROR(__xludf.DUMMYFUNCTION("TEXTJOIN("","",TRUE,ArrayFormula(IF(REGEXMATCH(Tabular!$J:$J,H$28),IF(REGEXMATCH(Tabular!$H:$H,$G$4),IF(REGEXMATCH(Tabular!$I:$I,$A33),Tabular!$A:$A&amp;"" (LAB)""&amp;char(10)&amp;Tabular!$H:$H&amp;char(10)&amp;Tabular!$K:$K,""""),""""),"""")))"),"#REF!")</f>
        <v>#REF!</v>
      </c>
      <c r="I33" s="164" t="e">
        <v>#REF!</v>
      </c>
      <c r="J33" s="164"/>
      <c r="K33" s="170"/>
    </row>
    <row r="34" ht="45.75" hidden="1" customHeight="1">
      <c r="A34" s="159" t="s">
        <v>124</v>
      </c>
      <c r="B34" s="164" t="str">
        <f>IFERROR(__xludf.DUMMYFUNCTION("TEXTJOIN("","",TRUE,ArrayFormula(IF(REGEXMATCH(Tabular!$J:$J,B$28),IF(REGEXMATCH(Tabular!$H:$H,$G$4),IF(REGEXMATCH(Tabular!$I:$I,$A34),Tabular!$A:$A&amp;"" (LAB)""&amp;char(10)&amp;Tabular!$H:$H&amp;char(10)&amp;Tabular!$K:$K,""""),""""),"""")))"),"#REF!")</f>
        <v>#REF!</v>
      </c>
      <c r="C34" s="164" t="e">
        <v>#REF!</v>
      </c>
      <c r="D34" s="164" t="str">
        <f>IFERROR(__xludf.DUMMYFUNCTION("TEXTJOIN("","",TRUE,ArrayFormula(IF(REGEXMATCH(Tabular!$J:$J,D$28),IF(REGEXMATCH(Tabular!$H:$H,$G$4),IF(REGEXMATCH(Tabular!$I:$I,$A34),Tabular!$A:$A&amp;"" (LAB)""&amp;char(10)&amp;Tabular!$H:$H&amp;char(10)&amp;Tabular!$K:$K,""""),""""),"""")))"),"#REF!")</f>
        <v>#REF!</v>
      </c>
      <c r="E34" s="164" t="e">
        <v>#REF!</v>
      </c>
      <c r="F34" s="164" t="str">
        <f>IFERROR(__xludf.DUMMYFUNCTION("TEXTJOIN("","",TRUE,ArrayFormula(IF(REGEXMATCH(Tabular!$J:$J,F$28),IF(REGEXMATCH(Tabular!$H:$H,$G$4),IF(REGEXMATCH(Tabular!$I:$I,$A34),Tabular!$A:$A&amp;"" (LAB)""&amp;char(10)&amp;Tabular!$H:$H&amp;char(10)&amp;Tabular!$K:$K,""""),""""),"""")))"),"#REF!")</f>
        <v>#REF!</v>
      </c>
      <c r="G34" s="164" t="e">
        <v>#REF!</v>
      </c>
      <c r="H34" s="164" t="str">
        <f>IFERROR(__xludf.DUMMYFUNCTION("TEXTJOIN("","",TRUE,ArrayFormula(IF(REGEXMATCH(Tabular!$J:$J,H$28),IF(REGEXMATCH(Tabular!$H:$H,$G$4),IF(REGEXMATCH(Tabular!$I:$I,$A34),Tabular!$A:$A&amp;"" (LAB)""&amp;char(10)&amp;Tabular!$H:$H&amp;char(10)&amp;Tabular!$K:$K,""""),""""),"""")))"),"#REF!")</f>
        <v>#REF!</v>
      </c>
      <c r="I34" s="164" t="e">
        <v>#REF!</v>
      </c>
      <c r="J34" s="164"/>
      <c r="K34" s="170"/>
    </row>
    <row r="35" ht="45.75" hidden="1" customHeight="1">
      <c r="A35" s="159" t="s">
        <v>133</v>
      </c>
      <c r="B35" s="164" t="str">
        <f>IFERROR(__xludf.DUMMYFUNCTION("TEXTJOIN("","",TRUE,ArrayFormula(IF(REGEXMATCH(Tabular!$J:$J,B$28),IF(REGEXMATCH(Tabular!$H:$H,$G$4),IF(REGEXMATCH(Tabular!$I:$I,$A35),Tabular!$A:$A&amp;"" (LAB)""&amp;char(10)&amp;Tabular!$H:$H&amp;char(10)&amp;Tabular!$K:$K,""""),""""),"""")))"),"#REF!")</f>
        <v>#REF!</v>
      </c>
      <c r="C35" s="164" t="e">
        <v>#REF!</v>
      </c>
      <c r="D35" s="164" t="str">
        <f>IFERROR(__xludf.DUMMYFUNCTION("TEXTJOIN("","",TRUE,ArrayFormula(IF(REGEXMATCH(Tabular!$J:$J,D$28),IF(REGEXMATCH(Tabular!$H:$H,$G$4),IF(REGEXMATCH(Tabular!$I:$I,$A35),Tabular!$A:$A&amp;"" (LAB)""&amp;char(10)&amp;Tabular!$H:$H&amp;char(10)&amp;Tabular!$K:$K,""""),""""),"""")))"),"#REF!")</f>
        <v>#REF!</v>
      </c>
      <c r="E35" s="164" t="e">
        <v>#REF!</v>
      </c>
      <c r="F35" s="164" t="str">
        <f>IFERROR(__xludf.DUMMYFUNCTION("TEXTJOIN("","",TRUE,ArrayFormula(IF(REGEXMATCH(Tabular!$J:$J,F$28),IF(REGEXMATCH(Tabular!$H:$H,$G$4),IF(REGEXMATCH(Tabular!$I:$I,$A35),Tabular!$A:$A&amp;"" (LAB)""&amp;char(10)&amp;Tabular!$H:$H&amp;char(10)&amp;Tabular!$K:$K,""""),""""),"""")))"),"#REF!")</f>
        <v>#REF!</v>
      </c>
      <c r="G35" s="164" t="e">
        <v>#REF!</v>
      </c>
      <c r="H35" s="164" t="str">
        <f>IFERROR(__xludf.DUMMYFUNCTION("TEXTJOIN("","",TRUE,ArrayFormula(IF(REGEXMATCH(Tabular!$J:$J,H$28),IF(REGEXMATCH(Tabular!$H:$H,$G$4),IF(REGEXMATCH(Tabular!$I:$I,$A35),Tabular!$A:$A&amp;"" (LAB)""&amp;char(10)&amp;Tabular!$H:$H&amp;char(10)&amp;Tabular!$K:$K,""""),""""),"""")))"),"#REF!")</f>
        <v>#REF!</v>
      </c>
      <c r="I35" s="164" t="e">
        <v>#REF!</v>
      </c>
      <c r="J35" s="164"/>
      <c r="K35" s="170"/>
    </row>
  </sheetData>
  <mergeCells count="5">
    <mergeCell ref="A1:J1"/>
    <mergeCell ref="B2:I2"/>
    <mergeCell ref="B3:I3"/>
    <mergeCell ref="A16:J16"/>
    <mergeCell ref="A17:J17"/>
  </mergeCells>
  <conditionalFormatting sqref="A9:J15">
    <cfRule type="expression" dxfId="0" priority="1">
      <formula>#REF!="Yes"</formula>
    </cfRule>
  </conditionalFormatting>
  <conditionalFormatting sqref="A9:J15">
    <cfRule type="cellIs" dxfId="1" priority="2" operator="equal">
      <formula>"Consultation"</formula>
    </cfRule>
  </conditionalFormatting>
  <hyperlinks>
    <hyperlink r:id="rId1" ref="A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